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atos" sheetId="2" state="visible" r:id="rId2"/>
    <sheet name="Ejercicio" sheetId="3" state="visible" r:id="rId3"/>
    <sheet name="S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7">
    <font>
      <name val="Calibri"/>
      <family val="2"/>
      <color theme="1"/>
      <sz val="11"/>
      <scheme val="minor"/>
    </font>
    <font>
      <name val="Inter"/>
      <b val="1"/>
      <color rgb="000A1628"/>
      <sz val="16"/>
    </font>
    <font>
      <name val="Inter"/>
      <color rgb="00555249"/>
      <sz val="10"/>
    </font>
    <font>
      <name val="Inter"/>
      <b val="1"/>
      <color rgb="000A1628"/>
      <sz val="11"/>
    </font>
    <font>
      <name val="Inter"/>
      <b val="1"/>
      <color rgb="00FFFFFF"/>
      <sz val="10"/>
    </font>
    <font>
      <name val="Inter"/>
      <color rgb="000A1628"/>
      <sz val="11"/>
    </font>
    <font>
      <name val="Inter"/>
      <b val="1"/>
      <color rgb="000B5FFF"/>
      <sz val="11"/>
    </font>
  </fonts>
  <fills count="5">
    <fill>
      <patternFill/>
    </fill>
    <fill>
      <patternFill patternType="gray125"/>
    </fill>
    <fill>
      <patternFill patternType="solid">
        <fgColor rgb="000B5FFF"/>
      </patternFill>
    </fill>
    <fill>
      <patternFill patternType="solid">
        <fgColor rgb="00FFF9C4"/>
      </patternFill>
    </fill>
    <fill>
      <patternFill patternType="solid">
        <fgColor rgb="00EFF4FF"/>
      </patternFill>
    </fill>
  </fills>
  <borders count="2">
    <border>
      <left/>
      <right/>
      <top/>
      <bottom/>
      <diagonal/>
    </border>
    <border>
      <left style="thin">
        <color rgb="00D4D1C9"/>
      </left>
      <right style="thin">
        <color rgb="00D4D1C9"/>
      </right>
      <top style="thin">
        <color rgb="00D4D1C9"/>
      </top>
      <bottom style="thin">
        <color rgb="00D4D1C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4" customHeight="1">
      <c r="A1" s="1" t="inlineStr">
        <is>
          <t>Ejercicio 2 — ¿RESICO o Actividad Empresarial?</t>
        </is>
      </c>
    </row>
    <row r="2">
      <c r="A2" s="2" t="inlineStr">
        <is>
          <t>Comparativo anual para 5 clientes con distintos perfiles de deducciones</t>
        </is>
      </c>
    </row>
    <row r="3">
      <c r="A3" s="3" t="inlineStr"/>
    </row>
    <row r="4">
      <c r="A4" s="4" t="inlineStr">
        <is>
          <t>OBJETIVO</t>
        </is>
      </c>
    </row>
    <row r="5">
      <c r="A5" s="3" t="inlineStr">
        <is>
          <t>Decidir qué régimen le conviene a cada cliente calculando el ISR anual en los dos escenarios.</t>
        </is>
      </c>
    </row>
    <row r="6">
      <c r="A6" s="3" t="inlineStr"/>
    </row>
    <row r="7">
      <c r="A7" s="4" t="inlineStr">
        <is>
          <t>PASOS</t>
        </is>
      </c>
    </row>
    <row r="8">
      <c r="A8" s="3" t="inlineStr">
        <is>
          <t>1. Hoja 'Datos': revisa la tarifa anual del Art. 152 LISR y las tasas anuales de RESICO (Art. 113-F).</t>
        </is>
      </c>
    </row>
    <row r="9">
      <c r="A9" s="3" t="inlineStr">
        <is>
          <t>2. Hoja 'Ejercicio': tienes 5 clientes con sus ingresos y gastos anuales (celdas amarillas = input).</t>
        </is>
      </c>
    </row>
    <row r="10">
      <c r="A10" s="3" t="inlineStr">
        <is>
          <t>3. Para cada cliente calcula:</t>
        </is>
      </c>
    </row>
    <row r="11">
      <c r="A11" s="3" t="inlineStr">
        <is>
          <t xml:space="preserve">      Columna D — Base 612 = Ingresos − Gastos</t>
        </is>
      </c>
    </row>
    <row r="12">
      <c r="A12" s="3" t="inlineStr">
        <is>
          <t xml:space="preserve">      Columna E — ISR 612 aplicando la tarifa anual (BUSCARV sobre Datos)</t>
        </is>
      </c>
    </row>
    <row r="13">
      <c r="A13" s="3" t="inlineStr">
        <is>
          <t xml:space="preserve">      Columna F — ISR RESICO = Ingresos × Tasa RESICO (BUSCARV)</t>
        </is>
      </c>
    </row>
    <row r="14">
      <c r="A14" s="3" t="inlineStr">
        <is>
          <t xml:space="preserve">      Columna G — Ahorro = ISR 612 − ISR RESICO (positivo = gana RESICO)</t>
        </is>
      </c>
    </row>
    <row r="15">
      <c r="A15" s="3" t="inlineStr">
        <is>
          <t xml:space="preserve">      Columna H — Recomendación con SI()</t>
        </is>
      </c>
    </row>
    <row r="16">
      <c r="A16" s="3" t="inlineStr">
        <is>
          <t>4. Observa en qué casos RESICO no conviene (muchos gastos) y cuándo es obligatorio (ingresos &gt; $3.5 MDP).</t>
        </is>
      </c>
    </row>
    <row r="17">
      <c r="A17" s="3" t="inlineStr"/>
    </row>
    <row r="18">
      <c r="A18" s="4" t="inlineStr">
        <is>
          <t>FÓRMULA CLAVE PARA ISR 612 ANUAL</t>
        </is>
      </c>
    </row>
    <row r="19">
      <c r="A19" s="3" t="inlineStr">
        <is>
          <t xml:space="preserve">  LI:           =BUSCARV(D4, Datos!$B$5:$E$15, 1, VERDADERO)</t>
        </is>
      </c>
    </row>
    <row r="20">
      <c r="A20" s="3" t="inlineStr">
        <is>
          <t xml:space="preserve">  Cuota fija:   =BUSCARV(D4, Datos!$B$5:$E$15, 3, VERDADERO)</t>
        </is>
      </c>
    </row>
    <row r="21">
      <c r="A21" s="3" t="inlineStr">
        <is>
          <t xml:space="preserve">  Tasa:         =BUSCARV(D4, Datos!$B$5:$E$15, 4, VERDADERO)</t>
        </is>
      </c>
    </row>
    <row r="22">
      <c r="A22" s="3" t="inlineStr">
        <is>
          <t xml:space="preserve">  ISR 612:      =(D4 − LI) × Tasa + Cuota fija</t>
        </is>
      </c>
    </row>
    <row r="23">
      <c r="A23" s="3" t="inlineStr"/>
    </row>
    <row r="24">
      <c r="A24" s="4" t="inlineStr">
        <is>
          <t>FÓRMULA PARA ISR RESICO</t>
        </is>
      </c>
    </row>
    <row r="25">
      <c r="A25" s="3" t="inlineStr">
        <is>
          <t xml:space="preserve">  ISR RESICO:   =B4 × BUSCARV(B4, Datos!$B$19:$D$23, 3, VERDADERO)</t>
        </is>
      </c>
    </row>
    <row r="26">
      <c r="A26" s="3" t="inlineStr"/>
    </row>
    <row r="27">
      <c r="A27" s="3" t="inlineStr">
        <is>
          <t>FÓRMULA RECOMENDACIÓN (considerando límite RESICO de $3.5M)</t>
        </is>
      </c>
    </row>
    <row r="28">
      <c r="A28" s="3" t="inlineStr">
        <is>
          <t xml:space="preserve">  =SI(B4&gt;3500000, "Solo 612 (supera límite RESICO)", SI(G4&gt;0, "RESICO", "612"))</t>
        </is>
      </c>
    </row>
    <row r="29">
      <c r="A29" s="3" t="inlineStr"/>
    </row>
    <row r="30">
      <c r="A30" s="3" t="inlineStr">
        <is>
          <t>TIEMPO SUGERIDO: 20 minutos</t>
        </is>
      </c>
    </row>
    <row r="31">
      <c r="A31" s="3" t="inlineStr"/>
    </row>
    <row r="32">
      <c r="A32" s="4" t="inlineStr">
        <is>
          <t>DISCUSIÓN EN PLENARIA</t>
        </is>
      </c>
    </row>
    <row r="33">
      <c r="A33" s="3" t="inlineStr">
        <is>
          <t>¿A partir de qué % de gastos deja de convenir RESICO? ¿Cómo cambia la decisión si el cliente además es socio de una persona moral?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16" customWidth="1" min="4" max="4"/>
    <col width="14" customWidth="1" min="5" max="5"/>
  </cols>
  <sheetData>
    <row r="1" ht="24" customHeight="1">
      <c r="A1" s="1" t="inlineStr">
        <is>
          <t>Tarifa anual Art. 152 + Tasas RESICO anual</t>
        </is>
      </c>
    </row>
    <row r="3">
      <c r="A3" s="5" t="inlineStr">
        <is>
          <t>Tarifa anual 2026 (Art. 152 LISR)</t>
        </is>
      </c>
    </row>
    <row r="4">
      <c r="A4" s="6" t="inlineStr">
        <is>
          <t>#</t>
        </is>
      </c>
      <c r="B4" s="6" t="inlineStr">
        <is>
          <t>Límite inferior</t>
        </is>
      </c>
      <c r="C4" s="6" t="inlineStr">
        <is>
          <t>Límite superior</t>
        </is>
      </c>
      <c r="D4" s="6" t="inlineStr">
        <is>
          <t>Cuota fija</t>
        </is>
      </c>
      <c r="E4" s="6" t="inlineStr">
        <is>
          <t>% excedente</t>
        </is>
      </c>
    </row>
    <row r="5">
      <c r="A5" s="7" t="n">
        <v>1</v>
      </c>
      <c r="B5" s="8" t="n">
        <v>0.01</v>
      </c>
      <c r="C5" s="8" t="n">
        <v>10134.92</v>
      </c>
      <c r="D5" s="8" t="n">
        <v>0</v>
      </c>
      <c r="E5" s="9" t="n">
        <v>0.0192</v>
      </c>
    </row>
    <row r="6">
      <c r="A6" s="7" t="n">
        <v>2</v>
      </c>
      <c r="B6" s="8" t="n">
        <v>10134.93</v>
      </c>
      <c r="C6" s="8" t="n">
        <v>85991.07000000001</v>
      </c>
      <c r="D6" s="8" t="n">
        <v>194.59</v>
      </c>
      <c r="E6" s="9" t="n">
        <v>0.064</v>
      </c>
    </row>
    <row r="7">
      <c r="A7" s="7" t="n">
        <v>3</v>
      </c>
      <c r="B7" s="8" t="n">
        <v>85991.08</v>
      </c>
      <c r="C7" s="8" t="n">
        <v>151120.33</v>
      </c>
      <c r="D7" s="8" t="n">
        <v>5049.5</v>
      </c>
      <c r="E7" s="9" t="n">
        <v>0.1088</v>
      </c>
    </row>
    <row r="8">
      <c r="A8" s="7" t="n">
        <v>4</v>
      </c>
      <c r="B8" s="8" t="n">
        <v>151120.34</v>
      </c>
      <c r="C8" s="8" t="n">
        <v>175595.6</v>
      </c>
      <c r="D8" s="8" t="n">
        <v>12132.58</v>
      </c>
      <c r="E8" s="9" t="n">
        <v>0.16</v>
      </c>
    </row>
    <row r="9">
      <c r="A9" s="7" t="n">
        <v>5</v>
      </c>
      <c r="B9" s="8" t="n">
        <v>175595.61</v>
      </c>
      <c r="C9" s="8" t="n">
        <v>210281.4</v>
      </c>
      <c r="D9" s="8" t="n">
        <v>16008.6</v>
      </c>
      <c r="E9" s="9" t="n">
        <v>0.1792</v>
      </c>
    </row>
    <row r="10">
      <c r="A10" s="7" t="n">
        <v>6</v>
      </c>
      <c r="B10" s="8" t="n">
        <v>210281.41</v>
      </c>
      <c r="C10" s="8" t="n">
        <v>423595.89</v>
      </c>
      <c r="D10" s="8" t="n">
        <v>22224.52</v>
      </c>
      <c r="E10" s="9" t="n">
        <v>0.2136</v>
      </c>
    </row>
    <row r="11">
      <c r="A11" s="7" t="n">
        <v>7</v>
      </c>
      <c r="B11" s="8" t="n">
        <v>423595.9</v>
      </c>
      <c r="C11" s="8" t="n">
        <v>667687.0600000001</v>
      </c>
      <c r="D11" s="8" t="n">
        <v>67811.42999999999</v>
      </c>
      <c r="E11" s="9" t="n">
        <v>0.2352</v>
      </c>
    </row>
    <row r="12">
      <c r="A12" s="7" t="n">
        <v>8</v>
      </c>
      <c r="B12" s="8" t="n">
        <v>667687.0699999999</v>
      </c>
      <c r="C12" s="8" t="n">
        <v>2009098.96</v>
      </c>
      <c r="D12" s="8" t="n">
        <v>125215.26</v>
      </c>
      <c r="E12" s="9" t="n">
        <v>0.3</v>
      </c>
    </row>
    <row r="13">
      <c r="A13" s="7" t="n">
        <v>9</v>
      </c>
      <c r="B13" s="8" t="n">
        <v>2009098.97</v>
      </c>
      <c r="C13" s="8" t="n">
        <v>2678798.66</v>
      </c>
      <c r="D13" s="8" t="n">
        <v>527638.8199999999</v>
      </c>
      <c r="E13" s="9" t="n">
        <v>0.32</v>
      </c>
    </row>
    <row r="14">
      <c r="A14" s="7" t="n">
        <v>10</v>
      </c>
      <c r="B14" s="8" t="n">
        <v>2678798.67</v>
      </c>
      <c r="C14" s="8" t="n">
        <v>8036395.93</v>
      </c>
      <c r="D14" s="8" t="n">
        <v>741942.8199999999</v>
      </c>
      <c r="E14" s="9" t="n">
        <v>0.34</v>
      </c>
    </row>
    <row r="15">
      <c r="A15" s="7" t="n">
        <v>11</v>
      </c>
      <c r="B15" s="8" t="n">
        <v>8036395.94</v>
      </c>
      <c r="C15" s="8" t="n">
        <v>999999999.99</v>
      </c>
      <c r="D15" s="8" t="n">
        <v>2563435.86</v>
      </c>
      <c r="E15" s="9" t="n">
        <v>0.35</v>
      </c>
    </row>
    <row r="17">
      <c r="A17" s="5" t="inlineStr">
        <is>
          <t>Tasas RESICO anual (Art. 113-F LISR)</t>
        </is>
      </c>
    </row>
    <row r="18">
      <c r="A18" s="6" t="inlineStr">
        <is>
          <t>#</t>
        </is>
      </c>
      <c r="B18" s="6" t="inlineStr">
        <is>
          <t>Límite inferior</t>
        </is>
      </c>
      <c r="C18" s="6" t="inlineStr">
        <is>
          <t>Límite superior</t>
        </is>
      </c>
      <c r="D18" s="6" t="inlineStr">
        <is>
          <t>Tasa</t>
        </is>
      </c>
    </row>
    <row r="19">
      <c r="A19" s="7" t="n">
        <v>1</v>
      </c>
      <c r="B19" s="8" t="n">
        <v>0.01</v>
      </c>
      <c r="C19" s="8" t="n">
        <v>300000</v>
      </c>
      <c r="D19" s="9" t="n">
        <v>0.01</v>
      </c>
    </row>
    <row r="20">
      <c r="A20" s="7" t="n">
        <v>2</v>
      </c>
      <c r="B20" s="8" t="n">
        <v>300000.01</v>
      </c>
      <c r="C20" s="8" t="n">
        <v>600000</v>
      </c>
      <c r="D20" s="9" t="n">
        <v>0.011</v>
      </c>
    </row>
    <row r="21">
      <c r="A21" s="7" t="n">
        <v>3</v>
      </c>
      <c r="B21" s="8" t="n">
        <v>600000.01</v>
      </c>
      <c r="C21" s="8" t="n">
        <v>1000000</v>
      </c>
      <c r="D21" s="9" t="n">
        <v>0.015</v>
      </c>
    </row>
    <row r="22">
      <c r="A22" s="7" t="n">
        <v>4</v>
      </c>
      <c r="B22" s="8" t="n">
        <v>1000000.01</v>
      </c>
      <c r="C22" s="8" t="n">
        <v>2500000</v>
      </c>
      <c r="D22" s="9" t="n">
        <v>0.02</v>
      </c>
    </row>
    <row r="23">
      <c r="A23" s="7" t="n">
        <v>5</v>
      </c>
      <c r="B23" s="8" t="n">
        <v>2500000.01</v>
      </c>
      <c r="C23" s="8" t="n">
        <v>3500000</v>
      </c>
      <c r="D23" s="9" t="n">
        <v>0.025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 ht="24" customHeight="1">
      <c r="A1" s="1" t="inlineStr">
        <is>
          <t>5 clientes — ¿RESICO o 612?</t>
        </is>
      </c>
    </row>
    <row r="4">
      <c r="A4" s="6" t="inlineStr">
        <is>
          <t>Cliente</t>
        </is>
      </c>
      <c r="B4" s="6" t="inlineStr">
        <is>
          <t>Ingresos anuales (input)</t>
        </is>
      </c>
      <c r="C4" s="6" t="inlineStr">
        <is>
          <t>Gastos anuales (input)</t>
        </is>
      </c>
      <c r="D4" s="6" t="inlineStr">
        <is>
          <t>Base 612</t>
        </is>
      </c>
      <c r="E4" s="6" t="inlineStr">
        <is>
          <t>ISR 612</t>
        </is>
      </c>
      <c r="F4" s="6" t="inlineStr">
        <is>
          <t>ISR RESICO</t>
        </is>
      </c>
      <c r="G4" s="6" t="inlineStr">
        <is>
          <t>Ahorro (612 − RESICO)</t>
        </is>
      </c>
      <c r="H4" s="6" t="inlineStr">
        <is>
          <t>Recomendación</t>
        </is>
      </c>
    </row>
    <row r="5">
      <c r="A5" s="7" t="inlineStr">
        <is>
          <t>Arquitecto freelance (home office)</t>
        </is>
      </c>
      <c r="B5" s="10" t="n">
        <v>1200000</v>
      </c>
      <c r="C5" s="10" t="n">
        <v>180000</v>
      </c>
      <c r="D5" s="11" t="n"/>
      <c r="E5" s="11" t="n"/>
      <c r="F5" s="11" t="n"/>
      <c r="G5" s="11" t="n"/>
      <c r="H5" s="12" t="n"/>
    </row>
    <row r="6">
      <c r="A6" s="7" t="inlineStr">
        <is>
          <t>Dueño de taller mecánico</t>
        </is>
      </c>
      <c r="B6" s="10" t="n">
        <v>1200000</v>
      </c>
      <c r="C6" s="10" t="n">
        <v>720000</v>
      </c>
      <c r="D6" s="11" t="n"/>
      <c r="E6" s="11" t="n"/>
      <c r="F6" s="11" t="n"/>
      <c r="G6" s="11" t="n"/>
      <c r="H6" s="12" t="n"/>
    </row>
    <row r="7">
      <c r="A7" s="7" t="inlineStr">
        <is>
          <t>Consultora independiente</t>
        </is>
      </c>
      <c r="B7" s="10" t="n">
        <v>800000</v>
      </c>
      <c r="C7" s="10" t="n">
        <v>100000</v>
      </c>
      <c r="D7" s="11" t="n"/>
      <c r="E7" s="11" t="n"/>
      <c r="F7" s="11" t="n"/>
      <c r="G7" s="11" t="n"/>
      <c r="H7" s="12" t="n"/>
    </row>
    <row r="8">
      <c r="A8" s="7" t="inlineStr">
        <is>
          <t>Comerciante mayorista</t>
        </is>
      </c>
      <c r="B8" s="10" t="n">
        <v>4200000</v>
      </c>
      <c r="C8" s="10" t="n">
        <v>2800000</v>
      </c>
      <c r="D8" s="11" t="n"/>
      <c r="E8" s="11" t="n"/>
      <c r="F8" s="11" t="n"/>
      <c r="G8" s="11" t="n"/>
      <c r="H8" s="12" t="n"/>
    </row>
    <row r="9">
      <c r="A9" s="7" t="inlineStr">
        <is>
          <t>Profesionista joven</t>
        </is>
      </c>
      <c r="B9" s="10" t="n">
        <v>350000</v>
      </c>
      <c r="C9" s="10" t="n">
        <v>50000</v>
      </c>
      <c r="D9" s="11" t="n"/>
      <c r="E9" s="11" t="n"/>
      <c r="F9" s="11" t="n"/>
      <c r="G9" s="11" t="n"/>
      <c r="H9" s="12" t="n"/>
    </row>
    <row r="12">
      <c r="A12" s="2" t="inlineStr">
        <is>
          <t>Celdas amarillas = input. Celdas blancas = a calcular.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 ht="24" customHeight="1">
      <c r="A1" s="1" t="inlineStr">
        <is>
          <t>Solución — fórmulas completas</t>
        </is>
      </c>
    </row>
    <row r="4">
      <c r="A4" s="6" t="inlineStr">
        <is>
          <t>Cliente</t>
        </is>
      </c>
      <c r="B4" s="6" t="inlineStr">
        <is>
          <t>Ingresos anuales (input)</t>
        </is>
      </c>
      <c r="C4" s="6" t="inlineStr">
        <is>
          <t>Gastos anuales (input)</t>
        </is>
      </c>
      <c r="D4" s="6" t="inlineStr">
        <is>
          <t>Base 612</t>
        </is>
      </c>
      <c r="E4" s="6" t="inlineStr">
        <is>
          <t>ISR 612</t>
        </is>
      </c>
      <c r="F4" s="6" t="inlineStr">
        <is>
          <t>ISR RESICO</t>
        </is>
      </c>
      <c r="G4" s="6" t="inlineStr">
        <is>
          <t>Ahorro (612 − RESICO)</t>
        </is>
      </c>
      <c r="H4" s="6" t="inlineStr">
        <is>
          <t>Recomendación</t>
        </is>
      </c>
    </row>
    <row r="5">
      <c r="A5" s="7" t="inlineStr">
        <is>
          <t>Arquitecto freelance (home office)</t>
        </is>
      </c>
      <c r="B5" s="13" t="n">
        <v>1200000</v>
      </c>
      <c r="C5" s="13" t="n">
        <v>180000</v>
      </c>
      <c r="D5" s="11">
        <f>B5-C5</f>
        <v/>
      </c>
      <c r="E5" s="11">
        <f>(D5-VLOOKUP(D5,Datos!$B$5:$E$15,1,TRUE))*VLOOKUP(D5,Datos!$B$5:$E$15,4,TRUE)+VLOOKUP(D5,Datos!$B$5:$E$15,3,TRUE)</f>
        <v/>
      </c>
      <c r="F5" s="11">
        <f>IF(B5&gt;3500000,"N/A",B5*VLOOKUP(B5,Datos!$B$19:$D$23,3,TRUE))</f>
        <v/>
      </c>
      <c r="G5" s="11">
        <f>IF(ISNUMBER(F5),E5-F5,"—")</f>
        <v/>
      </c>
      <c r="H5" s="14">
        <f>IF(B5&gt;3500000,"Solo 612 (supera límite RESICO)",IF(G5&gt;0,"RESICO",IF(G5&lt;0,"612","Empate")))</f>
        <v/>
      </c>
    </row>
    <row r="6">
      <c r="A6" s="7" t="inlineStr">
        <is>
          <t>Dueño de taller mecánico</t>
        </is>
      </c>
      <c r="B6" s="13" t="n">
        <v>1200000</v>
      </c>
      <c r="C6" s="13" t="n">
        <v>720000</v>
      </c>
      <c r="D6" s="11">
        <f>B6-C6</f>
        <v/>
      </c>
      <c r="E6" s="11">
        <f>(D6-VLOOKUP(D6,Datos!$B$5:$E$15,1,TRUE))*VLOOKUP(D6,Datos!$B$5:$E$15,4,TRUE)+VLOOKUP(D6,Datos!$B$5:$E$15,3,TRUE)</f>
        <v/>
      </c>
      <c r="F6" s="11">
        <f>IF(B6&gt;3500000,"N/A",B6*VLOOKUP(B6,Datos!$B$19:$D$23,3,TRUE))</f>
        <v/>
      </c>
      <c r="G6" s="11">
        <f>IF(ISNUMBER(F6),E6-F6,"—")</f>
        <v/>
      </c>
      <c r="H6" s="14">
        <f>IF(B6&gt;3500000,"Solo 612 (supera límite RESICO)",IF(G6&gt;0,"RESICO",IF(G6&lt;0,"612","Empate")))</f>
        <v/>
      </c>
    </row>
    <row r="7">
      <c r="A7" s="7" t="inlineStr">
        <is>
          <t>Consultora independiente</t>
        </is>
      </c>
      <c r="B7" s="13" t="n">
        <v>800000</v>
      </c>
      <c r="C7" s="13" t="n">
        <v>100000</v>
      </c>
      <c r="D7" s="11">
        <f>B7-C7</f>
        <v/>
      </c>
      <c r="E7" s="11">
        <f>(D7-VLOOKUP(D7,Datos!$B$5:$E$15,1,TRUE))*VLOOKUP(D7,Datos!$B$5:$E$15,4,TRUE)+VLOOKUP(D7,Datos!$B$5:$E$15,3,TRUE)</f>
        <v/>
      </c>
      <c r="F7" s="11">
        <f>IF(B7&gt;3500000,"N/A",B7*VLOOKUP(B7,Datos!$B$19:$D$23,3,TRUE))</f>
        <v/>
      </c>
      <c r="G7" s="11">
        <f>IF(ISNUMBER(F7),E7-F7,"—")</f>
        <v/>
      </c>
      <c r="H7" s="14">
        <f>IF(B7&gt;3500000,"Solo 612 (supera límite RESICO)",IF(G7&gt;0,"RESICO",IF(G7&lt;0,"612","Empate")))</f>
        <v/>
      </c>
    </row>
    <row r="8">
      <c r="A8" s="7" t="inlineStr">
        <is>
          <t>Comerciante mayorista</t>
        </is>
      </c>
      <c r="B8" s="13" t="n">
        <v>4200000</v>
      </c>
      <c r="C8" s="13" t="n">
        <v>2800000</v>
      </c>
      <c r="D8" s="11">
        <f>B8-C8</f>
        <v/>
      </c>
      <c r="E8" s="11">
        <f>(D8-VLOOKUP(D8,Datos!$B$5:$E$15,1,TRUE))*VLOOKUP(D8,Datos!$B$5:$E$15,4,TRUE)+VLOOKUP(D8,Datos!$B$5:$E$15,3,TRUE)</f>
        <v/>
      </c>
      <c r="F8" s="11">
        <f>IF(B8&gt;3500000,"N/A",B8*VLOOKUP(B8,Datos!$B$19:$D$23,3,TRUE))</f>
        <v/>
      </c>
      <c r="G8" s="11">
        <f>IF(ISNUMBER(F8),E8-F8,"—")</f>
        <v/>
      </c>
      <c r="H8" s="14">
        <f>IF(B8&gt;3500000,"Solo 612 (supera límite RESICO)",IF(G8&gt;0,"RESICO",IF(G8&lt;0,"612","Empate")))</f>
        <v/>
      </c>
    </row>
    <row r="9">
      <c r="A9" s="7" t="inlineStr">
        <is>
          <t>Profesionista joven</t>
        </is>
      </c>
      <c r="B9" s="13" t="n">
        <v>350000</v>
      </c>
      <c r="C9" s="13" t="n">
        <v>50000</v>
      </c>
      <c r="D9" s="11">
        <f>B9-C9</f>
        <v/>
      </c>
      <c r="E9" s="11">
        <f>(D9-VLOOKUP(D9,Datos!$B$5:$E$15,1,TRUE))*VLOOKUP(D9,Datos!$B$5:$E$15,4,TRUE)+VLOOKUP(D9,Datos!$B$5:$E$15,3,TRUE)</f>
        <v/>
      </c>
      <c r="F9" s="11">
        <f>IF(B9&gt;3500000,"N/A",B9*VLOOKUP(B9,Datos!$B$19:$D$23,3,TRUE))</f>
        <v/>
      </c>
      <c r="G9" s="11">
        <f>IF(ISNUMBER(F9),E9-F9,"—")</f>
        <v/>
      </c>
      <c r="H9" s="14">
        <f>IF(B9&gt;3500000,"Solo 612 (supera límite RESICO)",IF(G9&gt;0,"RESICO",IF(G9&lt;0,"612","Empate")))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2026-04-19T14:06:02Z</dcterms:created>
  <dcterms:modified xsi:type="dcterms:W3CDTF">2026-04-19T14:06:02Z</dcterms:modified>
</cp:coreProperties>
</file>