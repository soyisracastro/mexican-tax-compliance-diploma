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  <sheet name="Ejercicio" sheetId="3" state="visible" r:id="rId3"/>
    <sheet name="S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7">
    <font>
      <name val="Calibri"/>
      <family val="2"/>
      <color theme="1"/>
      <sz val="11"/>
      <scheme val="minor"/>
    </font>
    <font>
      <name val="Inter"/>
      <b val="1"/>
      <color rgb="000A1628"/>
      <sz val="16"/>
    </font>
    <font>
      <name val="Inter"/>
      <color rgb="00555249"/>
      <sz val="10"/>
    </font>
    <font>
      <name val="Inter"/>
      <b val="1"/>
      <color rgb="000A1628"/>
      <sz val="11"/>
    </font>
    <font>
      <name val="Inter"/>
      <b val="1"/>
      <color rgb="00FFFFFF"/>
      <sz val="10"/>
    </font>
    <font>
      <name val="Inter"/>
      <color rgb="000A1628"/>
      <sz val="11"/>
    </font>
    <font>
      <name val="Inter"/>
      <b val="1"/>
      <color rgb="000B5FFF"/>
      <sz val="11"/>
    </font>
  </fonts>
  <fills count="5">
    <fill>
      <patternFill/>
    </fill>
    <fill>
      <patternFill patternType="gray125"/>
    </fill>
    <fill>
      <patternFill patternType="solid">
        <fgColor rgb="000B5FFF"/>
      </patternFill>
    </fill>
    <fill>
      <patternFill patternType="solid">
        <fgColor rgb="00FFF9C4"/>
      </patternFill>
    </fill>
    <fill>
      <patternFill patternType="solid">
        <fgColor rgb="00EFF4FF"/>
      </patternFill>
    </fill>
  </fills>
  <borders count="2">
    <border>
      <left/>
      <right/>
      <top/>
      <bottom/>
      <diagonal/>
    </border>
    <border>
      <left style="thin">
        <color rgb="00D4D1C9"/>
      </left>
      <right style="thin">
        <color rgb="00D4D1C9"/>
      </right>
      <top style="thin">
        <color rgb="00D4D1C9"/>
      </top>
      <bottom style="thin">
        <color rgb="00D4D1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4" customHeight="1">
      <c r="A1" s="1" t="inlineStr">
        <is>
          <t>Ejercicio 3 — Arrendador: comprobadas vs ciega vs RESICO</t>
        </is>
      </c>
    </row>
    <row r="2">
      <c r="A2" s="2" t="inlineStr">
        <is>
          <t>Elegir la opción más conveniente para cada arrendador</t>
        </is>
      </c>
    </row>
    <row r="3">
      <c r="A3" s="3" t="inlineStr"/>
    </row>
    <row r="4">
      <c r="A4" s="4" t="inlineStr">
        <is>
          <t>OBJETIVO</t>
        </is>
      </c>
    </row>
    <row r="5">
      <c r="A5" s="3" t="inlineStr">
        <is>
          <t>Para cada arrendador, calcular el ISR anual en las tres opciones disponibles y recomendar la mejor.</t>
        </is>
      </c>
    </row>
    <row r="6">
      <c r="A6" s="3" t="inlineStr"/>
    </row>
    <row r="7">
      <c r="A7" s="4" t="inlineStr">
        <is>
          <t>LAS TRES OPCIONES</t>
        </is>
      </c>
    </row>
    <row r="8">
      <c r="A8" s="3" t="inlineStr">
        <is>
          <t xml:space="preserve">  A — Régimen 606 con DEDUCCIONES COMPROBADAS (Art. 115, párrafo 1)</t>
        </is>
      </c>
    </row>
    <row r="9">
      <c r="A9" s="3" t="inlineStr">
        <is>
          <t xml:space="preserve">      Deduce gastos reales: predial, mantenimiento, intereses reales, depreciación 5%, seguros.</t>
        </is>
      </c>
    </row>
    <row r="10">
      <c r="A10" s="3" t="inlineStr">
        <is>
          <t xml:space="preserve">  B — Régimen 606 con DEDUCCIÓN CIEGA (Art. 115, párrafo 2)</t>
        </is>
      </c>
    </row>
    <row r="11">
      <c r="A11" s="3" t="inlineStr">
        <is>
          <t xml:space="preserve">      Deduce 35% de ingresos + predial pagado, sin otros comprobantes.</t>
        </is>
      </c>
    </row>
    <row r="12">
      <c r="A12" s="3" t="inlineStr">
        <is>
          <t xml:space="preserve">  C — Régimen 626 RESICO (si ingresos ≤ $3.5 MDP)</t>
        </is>
      </c>
    </row>
    <row r="13">
      <c r="A13" s="3" t="inlineStr">
        <is>
          <t xml:space="preserve">      Tasa anual de 1% a 2.5% sobre ingresos cobrados, sin deducciones.</t>
        </is>
      </c>
    </row>
    <row r="14">
      <c r="A14" s="3" t="inlineStr"/>
    </row>
    <row r="15">
      <c r="A15" s="4" t="inlineStr">
        <is>
          <t>PASOS</t>
        </is>
      </c>
    </row>
    <row r="16">
      <c r="A16" s="3" t="inlineStr">
        <is>
          <t>1. Hoja 'Datos': tarifa anual Art. 152 + tasas RESICO anual.</t>
        </is>
      </c>
    </row>
    <row r="17">
      <c r="A17" s="3" t="inlineStr">
        <is>
          <t>2. Hoja 'Ejercicio': 3 arrendadores con sus datos (celdas amarillas = input).</t>
        </is>
      </c>
    </row>
    <row r="18">
      <c r="A18" s="3" t="inlineStr">
        <is>
          <t>3. Para cada arrendador llena:</t>
        </is>
      </c>
    </row>
    <row r="19">
      <c r="A19" s="3" t="inlineStr">
        <is>
          <t xml:space="preserve">      Base A (comprobadas) = Ingresos − Gastos reales − Depreciación</t>
        </is>
      </c>
    </row>
    <row r="20">
      <c r="A20" s="3" t="inlineStr">
        <is>
          <t xml:space="preserve">      Base B (ciega)        = Ingresos − (Ingresos × 35%) − Predial</t>
        </is>
      </c>
    </row>
    <row r="21">
      <c r="A21" s="3" t="inlineStr">
        <is>
          <t xml:space="preserve">      ISR A, ISR B aplicando tarifa anual (BUSCARV)</t>
        </is>
      </c>
    </row>
    <row r="22">
      <c r="A22" s="3" t="inlineStr">
        <is>
          <t xml:space="preserve">      ISR C (RESICO)        = Ingresos × Tasa RESICO  (o N/A si &gt;$3.5M)</t>
        </is>
      </c>
    </row>
    <row r="23">
      <c r="A23" s="3" t="inlineStr">
        <is>
          <t xml:space="preserve">      Recomendación         = la opción de menor ISR</t>
        </is>
      </c>
    </row>
    <row r="24">
      <c r="A24" s="3" t="inlineStr"/>
    </row>
    <row r="25">
      <c r="A25" s="3" t="inlineStr">
        <is>
          <t>TIEMPO SUGERIDO: 20 minutos</t>
        </is>
      </c>
    </row>
    <row r="26">
      <c r="A26" s="3" t="inlineStr"/>
    </row>
    <row r="27">
      <c r="A27" s="4" t="inlineStr">
        <is>
          <t>DISCUSIÓN EN PLENARIA</t>
        </is>
      </c>
    </row>
    <row r="28">
      <c r="A28" s="3" t="inlineStr">
        <is>
          <t>¿En qué escenario gana comprobadas sobre ciega? ¿A partir de qué nivel de ingresos RESICO deja de ser la obvia?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6" customWidth="1" min="4" max="4"/>
    <col width="14" customWidth="1" min="5" max="5"/>
  </cols>
  <sheetData>
    <row r="1" ht="24" customHeight="1">
      <c r="A1" s="1" t="inlineStr">
        <is>
          <t>Tarifa anual Art. 152 + Tasas RESICO anual</t>
        </is>
      </c>
    </row>
    <row r="3">
      <c r="A3" s="5" t="inlineStr">
        <is>
          <t>Tarifa anual 2026 (Art. 152 LISR)</t>
        </is>
      </c>
    </row>
    <row r="4">
      <c r="A4" s="6" t="inlineStr">
        <is>
          <t>#</t>
        </is>
      </c>
      <c r="B4" s="6" t="inlineStr">
        <is>
          <t>Límite inferior</t>
        </is>
      </c>
      <c r="C4" s="6" t="inlineStr">
        <is>
          <t>Límite superior</t>
        </is>
      </c>
      <c r="D4" s="6" t="inlineStr">
        <is>
          <t>Cuota fija</t>
        </is>
      </c>
      <c r="E4" s="6" t="inlineStr">
        <is>
          <t>% excedente</t>
        </is>
      </c>
    </row>
    <row r="5">
      <c r="A5" s="7" t="n">
        <v>1</v>
      </c>
      <c r="B5" s="8" t="n">
        <v>0.01</v>
      </c>
      <c r="C5" s="8" t="n">
        <v>10134.92</v>
      </c>
      <c r="D5" s="8" t="n">
        <v>0</v>
      </c>
      <c r="E5" s="9" t="n">
        <v>0.0192</v>
      </c>
    </row>
    <row r="6">
      <c r="A6" s="7" t="n">
        <v>2</v>
      </c>
      <c r="B6" s="8" t="n">
        <v>10134.93</v>
      </c>
      <c r="C6" s="8" t="n">
        <v>85991.07000000001</v>
      </c>
      <c r="D6" s="8" t="n">
        <v>194.59</v>
      </c>
      <c r="E6" s="9" t="n">
        <v>0.064</v>
      </c>
    </row>
    <row r="7">
      <c r="A7" s="7" t="n">
        <v>3</v>
      </c>
      <c r="B7" s="8" t="n">
        <v>85991.08</v>
      </c>
      <c r="C7" s="8" t="n">
        <v>151120.33</v>
      </c>
      <c r="D7" s="8" t="n">
        <v>5049.5</v>
      </c>
      <c r="E7" s="9" t="n">
        <v>0.1088</v>
      </c>
    </row>
    <row r="8">
      <c r="A8" s="7" t="n">
        <v>4</v>
      </c>
      <c r="B8" s="8" t="n">
        <v>151120.34</v>
      </c>
      <c r="C8" s="8" t="n">
        <v>175595.6</v>
      </c>
      <c r="D8" s="8" t="n">
        <v>12132.58</v>
      </c>
      <c r="E8" s="9" t="n">
        <v>0.16</v>
      </c>
    </row>
    <row r="9">
      <c r="A9" s="7" t="n">
        <v>5</v>
      </c>
      <c r="B9" s="8" t="n">
        <v>175595.61</v>
      </c>
      <c r="C9" s="8" t="n">
        <v>210281.4</v>
      </c>
      <c r="D9" s="8" t="n">
        <v>16008.6</v>
      </c>
      <c r="E9" s="9" t="n">
        <v>0.1792</v>
      </c>
    </row>
    <row r="10">
      <c r="A10" s="7" t="n">
        <v>6</v>
      </c>
      <c r="B10" s="8" t="n">
        <v>210281.41</v>
      </c>
      <c r="C10" s="8" t="n">
        <v>423595.89</v>
      </c>
      <c r="D10" s="8" t="n">
        <v>22224.52</v>
      </c>
      <c r="E10" s="9" t="n">
        <v>0.2136</v>
      </c>
    </row>
    <row r="11">
      <c r="A11" s="7" t="n">
        <v>7</v>
      </c>
      <c r="B11" s="8" t="n">
        <v>423595.9</v>
      </c>
      <c r="C11" s="8" t="n">
        <v>667687.0600000001</v>
      </c>
      <c r="D11" s="8" t="n">
        <v>67811.42999999999</v>
      </c>
      <c r="E11" s="9" t="n">
        <v>0.2352</v>
      </c>
    </row>
    <row r="12">
      <c r="A12" s="7" t="n">
        <v>8</v>
      </c>
      <c r="B12" s="8" t="n">
        <v>667687.0699999999</v>
      </c>
      <c r="C12" s="8" t="n">
        <v>2009098.96</v>
      </c>
      <c r="D12" s="8" t="n">
        <v>125215.26</v>
      </c>
      <c r="E12" s="9" t="n">
        <v>0.3</v>
      </c>
    </row>
    <row r="13">
      <c r="A13" s="7" t="n">
        <v>9</v>
      </c>
      <c r="B13" s="8" t="n">
        <v>2009098.97</v>
      </c>
      <c r="C13" s="8" t="n">
        <v>2678798.66</v>
      </c>
      <c r="D13" s="8" t="n">
        <v>527638.8199999999</v>
      </c>
      <c r="E13" s="9" t="n">
        <v>0.32</v>
      </c>
    </row>
    <row r="14">
      <c r="A14" s="7" t="n">
        <v>10</v>
      </c>
      <c r="B14" s="8" t="n">
        <v>2678798.67</v>
      </c>
      <c r="C14" s="8" t="n">
        <v>8036395.93</v>
      </c>
      <c r="D14" s="8" t="n">
        <v>741942.8199999999</v>
      </c>
      <c r="E14" s="9" t="n">
        <v>0.34</v>
      </c>
    </row>
    <row r="15">
      <c r="A15" s="7" t="n">
        <v>11</v>
      </c>
      <c r="B15" s="8" t="n">
        <v>8036395.94</v>
      </c>
      <c r="C15" s="8" t="n">
        <v>999999999.99</v>
      </c>
      <c r="D15" s="8" t="n">
        <v>2563435.86</v>
      </c>
      <c r="E15" s="9" t="n">
        <v>0.35</v>
      </c>
    </row>
    <row r="17">
      <c r="A17" s="5" t="inlineStr">
        <is>
          <t>Tasas RESICO anual (Art. 113-F LISR)</t>
        </is>
      </c>
    </row>
    <row r="18">
      <c r="A18" s="6" t="inlineStr">
        <is>
          <t>#</t>
        </is>
      </c>
      <c r="B18" s="6" t="inlineStr">
        <is>
          <t>Límite inferior</t>
        </is>
      </c>
      <c r="C18" s="6" t="inlineStr">
        <is>
          <t>Límite superior</t>
        </is>
      </c>
      <c r="D18" s="6" t="inlineStr">
        <is>
          <t>Tasa</t>
        </is>
      </c>
    </row>
    <row r="19">
      <c r="A19" s="7" t="n">
        <v>1</v>
      </c>
      <c r="B19" s="8" t="n">
        <v>0.01</v>
      </c>
      <c r="C19" s="8" t="n">
        <v>300000</v>
      </c>
      <c r="D19" s="9" t="n">
        <v>0.01</v>
      </c>
    </row>
    <row r="20">
      <c r="A20" s="7" t="n">
        <v>2</v>
      </c>
      <c r="B20" s="8" t="n">
        <v>300000.01</v>
      </c>
      <c r="C20" s="8" t="n">
        <v>600000</v>
      </c>
      <c r="D20" s="9" t="n">
        <v>0.011</v>
      </c>
    </row>
    <row r="21">
      <c r="A21" s="7" t="n">
        <v>3</v>
      </c>
      <c r="B21" s="8" t="n">
        <v>600000.01</v>
      </c>
      <c r="C21" s="8" t="n">
        <v>1000000</v>
      </c>
      <c r="D21" s="9" t="n">
        <v>0.015</v>
      </c>
    </row>
    <row r="22">
      <c r="A22" s="7" t="n">
        <v>4</v>
      </c>
      <c r="B22" s="8" t="n">
        <v>1000000.01</v>
      </c>
      <c r="C22" s="8" t="n">
        <v>2500000</v>
      </c>
      <c r="D22" s="9" t="n">
        <v>0.02</v>
      </c>
    </row>
    <row r="23">
      <c r="A23" s="7" t="n">
        <v>5</v>
      </c>
      <c r="B23" s="8" t="n">
        <v>2500000.01</v>
      </c>
      <c r="C23" s="8" t="n">
        <v>3500000</v>
      </c>
      <c r="D23" s="9" t="n">
        <v>0.025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3 arrendadores — 3 opciones cada uno</t>
        </is>
      </c>
    </row>
    <row r="4">
      <c r="A4" s="6" t="inlineStr">
        <is>
          <t>Arrendador</t>
        </is>
      </c>
      <c r="B4" s="6" t="inlineStr">
        <is>
          <t>Ingresos anuales</t>
        </is>
      </c>
      <c r="C4" s="6" t="inlineStr">
        <is>
          <t>Gastos reales</t>
        </is>
      </c>
      <c r="D4" s="6" t="inlineStr">
        <is>
          <t>Depreciación 5%</t>
        </is>
      </c>
      <c r="E4" s="6" t="inlineStr">
        <is>
          <t>Predial anual</t>
        </is>
      </c>
      <c r="F4" s="6" t="inlineStr">
        <is>
          <t>ISR A (comprob.)</t>
        </is>
      </c>
      <c r="G4" s="6" t="inlineStr">
        <is>
          <t>ISR B (ciega 35%)</t>
        </is>
      </c>
      <c r="H4" s="6" t="inlineStr">
        <is>
          <t>ISR C (RESICO)</t>
        </is>
      </c>
      <c r="I4" s="6" t="inlineStr">
        <is>
          <t>Mejor opción</t>
        </is>
      </c>
      <c r="J4" s="6" t="inlineStr">
        <is>
          <t>ISR mínimo</t>
        </is>
      </c>
    </row>
    <row r="5">
      <c r="A5" s="7" t="inlineStr">
        <is>
          <t>Doña Carmen — 2 casas</t>
        </is>
      </c>
      <c r="B5" s="10" t="n">
        <v>444000</v>
      </c>
      <c r="C5" s="10" t="n">
        <v>20000</v>
      </c>
      <c r="D5" s="10" t="n">
        <v>25000</v>
      </c>
      <c r="E5" s="10" t="n">
        <v>9700</v>
      </c>
      <c r="F5" s="11" t="n"/>
      <c r="G5" s="11" t="n"/>
      <c r="H5" s="11" t="n"/>
      <c r="I5" s="12" t="n"/>
      <c r="J5" s="11" t="n"/>
    </row>
    <row r="6">
      <c r="A6" s="7" t="inlineStr">
        <is>
          <t>Don Miguel — 1 local</t>
        </is>
      </c>
      <c r="B6" s="10" t="n">
        <v>300000</v>
      </c>
      <c r="C6" s="10" t="n">
        <v>5000</v>
      </c>
      <c r="D6" s="10" t="n">
        <v>12000</v>
      </c>
      <c r="E6" s="10" t="n">
        <v>4500</v>
      </c>
      <c r="F6" s="11" t="n"/>
      <c r="G6" s="11" t="n"/>
      <c r="H6" s="11" t="n"/>
      <c r="I6" s="12" t="n"/>
      <c r="J6" s="11" t="n"/>
    </row>
    <row r="7">
      <c r="A7" s="7" t="inlineStr">
        <is>
          <t>Sra. Ana — 4 deptos con hipoteca</t>
        </is>
      </c>
      <c r="B7" s="10" t="n">
        <v>600000</v>
      </c>
      <c r="C7" s="10" t="n">
        <v>95000</v>
      </c>
      <c r="D7" s="10" t="n">
        <v>40000</v>
      </c>
      <c r="E7" s="10" t="n">
        <v>15000</v>
      </c>
      <c r="F7" s="11" t="n"/>
      <c r="G7" s="11" t="n"/>
      <c r="H7" s="11" t="n"/>
      <c r="I7" s="12" t="n"/>
      <c r="J7" s="11" t="n"/>
    </row>
    <row r="10">
      <c r="A10" s="2" t="inlineStr">
        <is>
          <t>Celdas amarillas = input. Celdas blancas = a calcular.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Solución — fórmulas completas</t>
        </is>
      </c>
    </row>
    <row r="4">
      <c r="A4" s="6" t="inlineStr">
        <is>
          <t>Arrendador</t>
        </is>
      </c>
      <c r="B4" s="6" t="inlineStr">
        <is>
          <t>Ingresos anuales</t>
        </is>
      </c>
      <c r="C4" s="6" t="inlineStr">
        <is>
          <t>Gastos reales</t>
        </is>
      </c>
      <c r="D4" s="6" t="inlineStr">
        <is>
          <t>Depreciación 5%</t>
        </is>
      </c>
      <c r="E4" s="6" t="inlineStr">
        <is>
          <t>Predial anual</t>
        </is>
      </c>
      <c r="F4" s="6" t="inlineStr">
        <is>
          <t>ISR A (comprob.)</t>
        </is>
      </c>
      <c r="G4" s="6" t="inlineStr">
        <is>
          <t>ISR B (ciega 35%)</t>
        </is>
      </c>
      <c r="H4" s="6" t="inlineStr">
        <is>
          <t>ISR C (RESICO)</t>
        </is>
      </c>
      <c r="I4" s="6" t="inlineStr">
        <is>
          <t>Mejor opción</t>
        </is>
      </c>
      <c r="J4" s="6" t="inlineStr">
        <is>
          <t>ISR mínimo</t>
        </is>
      </c>
    </row>
    <row r="5">
      <c r="A5" s="7" t="inlineStr">
        <is>
          <t>Doña Carmen — 2 casas</t>
        </is>
      </c>
      <c r="B5" s="13" t="n">
        <v>444000</v>
      </c>
      <c r="C5" s="13" t="n">
        <v>20000</v>
      </c>
      <c r="D5" s="13" t="n">
        <v>25000</v>
      </c>
      <c r="E5" s="13" t="n">
        <v>9700</v>
      </c>
      <c r="F5" s="11">
        <f>MAX(0,((B5-C5-D5-E5)-VLOOKUP((B5-C5-D5-E5),Datos!$B$5:$E$15,1,TRUE))*VLOOKUP((B5-C5-D5-E5),Datos!$B$5:$E$15,4,TRUE)+VLOOKUP((B5-C5-D5-E5),Datos!$B$5:$E$15,3,TRUE))</f>
        <v/>
      </c>
      <c r="G5" s="11">
        <f>MAX(0,((B5*0.65-E5)-VLOOKUP((B5*0.65-E5),Datos!$B$5:$E$15,1,TRUE))*VLOOKUP((B5*0.65-E5),Datos!$B$5:$E$15,4,TRUE)+VLOOKUP((B5*0.65-E5),Datos!$B$5:$E$15,3,TRUE))</f>
        <v/>
      </c>
      <c r="H5" s="11">
        <f>IF(B5&gt;3500000,"N/A",B5*VLOOKUP(B5,Datos!$B$19:$D$23,3,TRUE))</f>
        <v/>
      </c>
      <c r="I5" s="14">
        <f>IF(ISNUMBER(H5),IF(MIN(F5,G5,H5)=H5,"C — RESICO",IF(MIN(F5,G5)=F5,"A — Comprobadas","B — Ciega 35%")),IF(F5&lt;G5,"A — Comprobadas","B — Ciega 35%"))</f>
        <v/>
      </c>
      <c r="J5" s="11">
        <f>IF(ISNUMBER(H5),MIN(F5,G5,H5),MIN(F5,G5))</f>
        <v/>
      </c>
    </row>
    <row r="6">
      <c r="A6" s="7" t="inlineStr">
        <is>
          <t>Don Miguel — 1 local</t>
        </is>
      </c>
      <c r="B6" s="13" t="n">
        <v>300000</v>
      </c>
      <c r="C6" s="13" t="n">
        <v>5000</v>
      </c>
      <c r="D6" s="13" t="n">
        <v>12000</v>
      </c>
      <c r="E6" s="13" t="n">
        <v>4500</v>
      </c>
      <c r="F6" s="11">
        <f>MAX(0,((B6-C6-D6-E6)-VLOOKUP((B6-C6-D6-E6),Datos!$B$5:$E$15,1,TRUE))*VLOOKUP((B6-C6-D6-E6),Datos!$B$5:$E$15,4,TRUE)+VLOOKUP((B6-C6-D6-E6),Datos!$B$5:$E$15,3,TRUE))</f>
        <v/>
      </c>
      <c r="G6" s="11">
        <f>MAX(0,((B6*0.65-E6)-VLOOKUP((B6*0.65-E6),Datos!$B$5:$E$15,1,TRUE))*VLOOKUP((B6*0.65-E6),Datos!$B$5:$E$15,4,TRUE)+VLOOKUP((B6*0.65-E6),Datos!$B$5:$E$15,3,TRUE))</f>
        <v/>
      </c>
      <c r="H6" s="11">
        <f>IF(B6&gt;3500000,"N/A",B6*VLOOKUP(B6,Datos!$B$19:$D$23,3,TRUE))</f>
        <v/>
      </c>
      <c r="I6" s="14">
        <f>IF(ISNUMBER(H6),IF(MIN(F6,G6,H6)=H6,"C — RESICO",IF(MIN(F6,G6)=F6,"A — Comprobadas","B — Ciega 35%")),IF(F6&lt;G6,"A — Comprobadas","B — Ciega 35%"))</f>
        <v/>
      </c>
      <c r="J6" s="11">
        <f>IF(ISNUMBER(H6),MIN(F6,G6,H6),MIN(F6,G6))</f>
        <v/>
      </c>
    </row>
    <row r="7">
      <c r="A7" s="7" t="inlineStr">
        <is>
          <t>Sra. Ana — 4 deptos con hipoteca</t>
        </is>
      </c>
      <c r="B7" s="13" t="n">
        <v>600000</v>
      </c>
      <c r="C7" s="13" t="n">
        <v>95000</v>
      </c>
      <c r="D7" s="13" t="n">
        <v>40000</v>
      </c>
      <c r="E7" s="13" t="n">
        <v>15000</v>
      </c>
      <c r="F7" s="11">
        <f>MAX(0,((B7-C7-D7-E7)-VLOOKUP((B7-C7-D7-E7),Datos!$B$5:$E$15,1,TRUE))*VLOOKUP((B7-C7-D7-E7),Datos!$B$5:$E$15,4,TRUE)+VLOOKUP((B7-C7-D7-E7),Datos!$B$5:$E$15,3,TRUE))</f>
        <v/>
      </c>
      <c r="G7" s="11">
        <f>MAX(0,((B7*0.65-E7)-VLOOKUP((B7*0.65-E7),Datos!$B$5:$E$15,1,TRUE))*VLOOKUP((B7*0.65-E7),Datos!$B$5:$E$15,4,TRUE)+VLOOKUP((B7*0.65-E7),Datos!$B$5:$E$15,3,TRUE))</f>
        <v/>
      </c>
      <c r="H7" s="11">
        <f>IF(B7&gt;3500000,"N/A",B7*VLOOKUP(B7,Datos!$B$19:$D$23,3,TRUE))</f>
        <v/>
      </c>
      <c r="I7" s="14">
        <f>IF(ISNUMBER(H7),IF(MIN(F7,G7,H7)=H7,"C — RESICO",IF(MIN(F7,G7)=F7,"A — Comprobadas","B — Ciega 35%")),IF(F7&lt;G7,"A — Comprobadas","B — Ciega 35%"))</f>
        <v/>
      </c>
      <c r="J7" s="11">
        <f>IF(ISNUMBER(H7),MIN(F7,G7,H7),MIN(F7,G7))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2026-04-19T14:06:02Z</dcterms:created>
  <dcterms:modified xsi:type="dcterms:W3CDTF">2026-04-19T14:06:02Z</dcterms:modified>
</cp:coreProperties>
</file>