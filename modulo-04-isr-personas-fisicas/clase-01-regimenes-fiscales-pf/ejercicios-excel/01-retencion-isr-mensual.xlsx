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Ejercicio" sheetId="3" state="visible" r:id="rId3"/>
    <sheet xmlns:r="http://schemas.openxmlformats.org/officeDocument/2006/relationships" name="S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Inter"/>
      <b val="1"/>
      <color rgb="000A1628"/>
      <sz val="16"/>
    </font>
    <font>
      <name val="Inter"/>
      <color rgb="00555249"/>
      <sz val="10"/>
    </font>
    <font>
      <name val="Inter"/>
      <b val="1"/>
      <color rgb="000A1628"/>
      <sz val="11"/>
    </font>
    <font>
      <name val="Inter"/>
      <b val="1"/>
      <color rgb="00FFFFFF"/>
      <sz val="10"/>
    </font>
    <font>
      <name val="Inter"/>
      <color rgb="000A1628"/>
      <sz val="11"/>
    </font>
    <font>
      <name val="Inter"/>
      <b val="1"/>
      <color rgb="000B5FFF"/>
      <sz val="11"/>
    </font>
  </fonts>
  <fills count="5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FF9C4"/>
      </patternFill>
    </fill>
    <fill>
      <patternFill patternType="solid">
        <fgColor rgb="00EFF4FF"/>
      </patternFill>
    </fill>
  </fills>
  <borders count="2">
    <border>
      <left/>
      <right/>
      <top/>
      <bottom/>
      <diagonal/>
    </border>
    <border>
      <left style="thin">
        <color rgb="00D4D1C9"/>
      </left>
      <right style="thin">
        <color rgb="00D4D1C9"/>
      </right>
      <top style="thin">
        <color rgb="00D4D1C9"/>
      </top>
      <bottom style="thin">
        <color rgb="00D4D1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1" t="inlineStr">
        <is>
          <t>Ejercicio 1 — Retención ISR mensual de sueldos</t>
        </is>
      </c>
    </row>
    <row r="2">
      <c r="A2" s="2" t="inlineStr">
        <is>
          <t>Art. 96 LISR · Tarifa mensual 2026 (Anexo 8 RMF)</t>
        </is>
      </c>
    </row>
    <row r="3">
      <c r="A3" s="3" t="inlineStr"/>
    </row>
    <row r="4">
      <c r="A4" s="4" t="inlineStr">
        <is>
          <t>OBJETIVO</t>
        </is>
      </c>
    </row>
    <row r="5">
      <c r="A5" s="3" t="inlineStr">
        <is>
          <t>Construir una calculadora de retención mensual de ISR en Excel aplicando la tarifa progresiva del Art. 96 LISR.</t>
        </is>
      </c>
    </row>
    <row r="6">
      <c r="A6" s="3" t="inlineStr"/>
    </row>
    <row r="7">
      <c r="A7" s="4" t="inlineStr">
        <is>
          <t>PASOS</t>
        </is>
      </c>
    </row>
    <row r="8">
      <c r="A8" s="3" t="inlineStr">
        <is>
          <t>1. Ve a la hoja 'Datos' y revisa la tarifa mensual 2026. Cada renglón tiene: límite inferior, límite superior, cuota fija y % sobre excedente.</t>
        </is>
      </c>
    </row>
    <row r="9">
      <c r="A9" s="3" t="inlineStr">
        <is>
          <t>2. Ve a la hoja 'Ejercicio'. Verás 5 casos con diferentes sueldos en la columna B (celdas amarillas = input).</t>
        </is>
      </c>
    </row>
    <row r="10">
      <c r="A10" s="3" t="inlineStr">
        <is>
          <t>3. Para cada caso, llena las columnas C a I aplicando la fórmula:</t>
        </is>
      </c>
    </row>
    <row r="11">
      <c r="A11" s="3" t="inlineStr">
        <is>
          <t xml:space="preserve">      ISR  =  (Sueldo − Límite inferior) × Tasa  +  Cuota fija</t>
        </is>
      </c>
    </row>
    <row r="12">
      <c r="A12" s="3" t="inlineStr">
        <is>
          <t>4. Usa BUSCARV con aproximación (último argumento VERDADERO) sobre el rango de la tarifa para encontrar automáticamente el LI, la cuota fija y la tasa.</t>
        </is>
      </c>
    </row>
    <row r="13">
      <c r="A13" s="3" t="inlineStr">
        <is>
          <t xml:space="preserve">   Tip: la tabla de BUSCARV debe tener el límite inferior en la primera columna.</t>
        </is>
      </c>
    </row>
    <row r="14">
      <c r="A14" s="3" t="inlineStr">
        <is>
          <t>5. Calcula la carga efectiva (columna I) como ISR ÷ Sueldo.</t>
        </is>
      </c>
    </row>
    <row r="15">
      <c r="A15" s="3" t="inlineStr">
        <is>
          <t>6. Compara tus resultados con la hoja 'Solución' al final.</t>
        </is>
      </c>
    </row>
    <row r="16">
      <c r="A16" s="3" t="inlineStr"/>
    </row>
    <row r="17">
      <c r="A17" s="4" t="inlineStr">
        <is>
          <t>PISTAS DE FÓRMULAS</t>
        </is>
      </c>
    </row>
    <row r="18">
      <c r="A18" s="3" t="inlineStr">
        <is>
          <t xml:space="preserve">  Límite inferior:  =BUSCARV(B4, Datos!$B$5:$E$15, 1, VERDADERO)</t>
        </is>
      </c>
    </row>
    <row r="19">
      <c r="A19" s="3" t="inlineStr">
        <is>
          <t xml:space="preserve">  Cuota fija:       =BUSCARV(B4, Datos!$B$5:$E$15, 3, VERDADERO)</t>
        </is>
      </c>
    </row>
    <row r="20">
      <c r="A20" s="3" t="inlineStr">
        <is>
          <t xml:space="preserve">  Tasa:             =BUSCARV(B4, Datos!$B$5:$E$15, 4, VERDADERO)</t>
        </is>
      </c>
    </row>
    <row r="21">
      <c r="A21" s="3" t="inlineStr">
        <is>
          <t xml:space="preserve">  Excedente:        =B4 − C4</t>
        </is>
      </c>
    </row>
    <row r="22">
      <c r="A22" s="3" t="inlineStr">
        <is>
          <t xml:space="preserve">  Impuesto marginal:=D4 × E4</t>
        </is>
      </c>
    </row>
    <row r="23">
      <c r="A23" s="4" t="inlineStr">
        <is>
          <t xml:space="preserve">  ISR:              =F4 + G4</t>
        </is>
      </c>
    </row>
    <row r="24">
      <c r="A24" s="3" t="inlineStr">
        <is>
          <t xml:space="preserve">  Carga efectiva:   =H4 / B4</t>
        </is>
      </c>
    </row>
    <row r="25">
      <c r="A25" s="3" t="inlineStr"/>
    </row>
    <row r="26">
      <c r="A26" s="3" t="inlineStr">
        <is>
          <t>TIEMPO SUGERIDO: 15 minutos</t>
        </is>
      </c>
    </row>
    <row r="27">
      <c r="A27" s="3" t="inlineStr"/>
    </row>
    <row r="28">
      <c r="A28" s="4" t="inlineStr">
        <is>
          <t>DISCUSIÓN EN PLENARIA</t>
        </is>
      </c>
    </row>
    <row r="29">
      <c r="A29" s="3" t="inlineStr">
        <is>
          <t>¿Por qué un trabajador con $25,000 mensuales paga efectivo ~14% y uno con $200,000 paga ~27%? Identifica el principio constitucional en acción.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6" customWidth="1" min="4" max="4"/>
    <col width="14" customWidth="1" min="5" max="5"/>
  </cols>
  <sheetData>
    <row r="1" ht="24" customHeight="1">
      <c r="A1" s="1" t="inlineStr">
        <is>
          <t>Tarifa mensual ISR 2026</t>
        </is>
      </c>
    </row>
    <row r="2">
      <c r="A2" s="2" t="inlineStr">
        <is>
          <t>Anexo 8 RMF 2026 · DOF 28-dic-2025</t>
        </is>
      </c>
    </row>
    <row r="4">
      <c r="A4" s="5" t="inlineStr">
        <is>
          <t>#</t>
        </is>
      </c>
      <c r="B4" s="5" t="inlineStr">
        <is>
          <t>Límite inferior</t>
        </is>
      </c>
      <c r="C4" s="5" t="inlineStr">
        <is>
          <t>Límite superior</t>
        </is>
      </c>
      <c r="D4" s="5" t="inlineStr">
        <is>
          <t>Cuota fija</t>
        </is>
      </c>
      <c r="E4" s="5" t="inlineStr">
        <is>
          <t>% excedente</t>
        </is>
      </c>
    </row>
    <row r="5">
      <c r="A5" s="6" t="n">
        <v>1</v>
      </c>
      <c r="B5" s="7" t="n">
        <v>0.01</v>
      </c>
      <c r="C5" s="7" t="n">
        <v>844.59</v>
      </c>
      <c r="D5" s="7" t="n">
        <v>0</v>
      </c>
      <c r="E5" s="8" t="n">
        <v>0.0192</v>
      </c>
    </row>
    <row r="6">
      <c r="A6" s="6" t="n">
        <v>2</v>
      </c>
      <c r="B6" s="7" t="n">
        <v>844.6</v>
      </c>
      <c r="C6" s="7" t="n">
        <v>7165.92</v>
      </c>
      <c r="D6" s="7" t="n">
        <v>16.22</v>
      </c>
      <c r="E6" s="8" t="n">
        <v>0.064</v>
      </c>
    </row>
    <row r="7">
      <c r="A7" s="6" t="n">
        <v>3</v>
      </c>
      <c r="B7" s="7" t="n">
        <v>7165.93</v>
      </c>
      <c r="C7" s="7" t="n">
        <v>12593.36</v>
      </c>
      <c r="D7" s="7" t="n">
        <v>420.79</v>
      </c>
      <c r="E7" s="8" t="n">
        <v>0.1088</v>
      </c>
    </row>
    <row r="8">
      <c r="A8" s="6" t="n">
        <v>4</v>
      </c>
      <c r="B8" s="7" t="n">
        <v>12593.37</v>
      </c>
      <c r="C8" s="7" t="n">
        <v>14632.96</v>
      </c>
      <c r="D8" s="7" t="n">
        <v>1011.05</v>
      </c>
      <c r="E8" s="8" t="n">
        <v>0.16</v>
      </c>
    </row>
    <row r="9">
      <c r="A9" s="6" t="n">
        <v>5</v>
      </c>
      <c r="B9" s="7" t="n">
        <v>14632.97</v>
      </c>
      <c r="C9" s="7" t="n">
        <v>17523.45</v>
      </c>
      <c r="D9" s="7" t="n">
        <v>1337.38</v>
      </c>
      <c r="E9" s="8" t="n">
        <v>0.1792</v>
      </c>
    </row>
    <row r="10">
      <c r="A10" s="6" t="n">
        <v>6</v>
      </c>
      <c r="B10" s="7" t="n">
        <v>17523.46</v>
      </c>
      <c r="C10" s="7" t="n">
        <v>35299.65</v>
      </c>
      <c r="D10" s="7" t="n">
        <v>1852.05</v>
      </c>
      <c r="E10" s="8" t="n">
        <v>0.2136</v>
      </c>
    </row>
    <row r="11">
      <c r="A11" s="6" t="n">
        <v>7</v>
      </c>
      <c r="B11" s="7" t="n">
        <v>35299.66</v>
      </c>
      <c r="C11" s="7" t="n">
        <v>55640.58</v>
      </c>
      <c r="D11" s="7" t="n">
        <v>5651.62</v>
      </c>
      <c r="E11" s="8" t="n">
        <v>0.2352</v>
      </c>
    </row>
    <row r="12">
      <c r="A12" s="6" t="n">
        <v>8</v>
      </c>
      <c r="B12" s="7" t="n">
        <v>55640.59</v>
      </c>
      <c r="C12" s="7" t="n">
        <v>106410.49</v>
      </c>
      <c r="D12" s="7" t="n">
        <v>10434.61</v>
      </c>
      <c r="E12" s="8" t="n">
        <v>0.3</v>
      </c>
    </row>
    <row r="13">
      <c r="A13" s="6" t="n">
        <v>9</v>
      </c>
      <c r="B13" s="7" t="n">
        <v>106410.5</v>
      </c>
      <c r="C13" s="7" t="n">
        <v>141880.67</v>
      </c>
      <c r="D13" s="7" t="n">
        <v>25666.64</v>
      </c>
      <c r="E13" s="8" t="n">
        <v>0.32</v>
      </c>
    </row>
    <row r="14">
      <c r="A14" s="6" t="n">
        <v>10</v>
      </c>
      <c r="B14" s="7" t="n">
        <v>141880.68</v>
      </c>
      <c r="C14" s="7" t="n">
        <v>425643.66</v>
      </c>
      <c r="D14" s="7" t="n">
        <v>37344.33</v>
      </c>
      <c r="E14" s="8" t="n">
        <v>0.34</v>
      </c>
    </row>
    <row r="15">
      <c r="A15" s="6" t="n">
        <v>11</v>
      </c>
      <c r="B15" s="7" t="n">
        <v>425643.67</v>
      </c>
      <c r="C15" s="7" t="n">
        <v>999999999.99</v>
      </c>
      <c r="D15" s="7" t="n">
        <v>133897.59</v>
      </c>
      <c r="E15" s="8" t="n">
        <v>0.35</v>
      </c>
    </row>
    <row r="17">
      <c r="A17" s="2" t="inlineStr">
        <is>
          <t>Factor de actualización 2026: 1.13213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3" customWidth="1" min="4" max="4"/>
    <col width="10" customWidth="1" min="5" max="5"/>
    <col width="15" customWidth="1" min="6" max="6"/>
    <col width="13" customWidth="1" min="7" max="7"/>
    <col width="14" customWidth="1" min="8" max="8"/>
    <col width="12" customWidth="1" min="9" max="9"/>
  </cols>
  <sheetData>
    <row r="1" ht="24" customHeight="1">
      <c r="A1" s="1" t="inlineStr">
        <is>
          <t>Cálculo de retención mensual — 5 casos</t>
        </is>
      </c>
    </row>
    <row r="2">
      <c r="A2" s="2" t="inlineStr">
        <is>
          <t>Llena las celdas blancas usando las fórmulas indicadas en Instrucciones.</t>
        </is>
      </c>
    </row>
    <row r="4">
      <c r="A4" s="5" t="inlineStr">
        <is>
          <t>Caso</t>
        </is>
      </c>
      <c r="B4" s="5" t="inlineStr">
        <is>
          <t>Sueldo (input)</t>
        </is>
      </c>
      <c r="C4" s="5" t="inlineStr">
        <is>
          <t>LI aplicable</t>
        </is>
      </c>
      <c r="D4" s="5" t="inlineStr">
        <is>
          <t>Excedente</t>
        </is>
      </c>
      <c r="E4" s="5" t="inlineStr">
        <is>
          <t>Tasa</t>
        </is>
      </c>
      <c r="F4" s="5" t="inlineStr">
        <is>
          <t>Imp. marginal</t>
        </is>
      </c>
      <c r="G4" s="5" t="inlineStr">
        <is>
          <t>Cuota fija</t>
        </is>
      </c>
      <c r="H4" s="5" t="inlineStr">
        <is>
          <t>ISR</t>
        </is>
      </c>
      <c r="I4" s="5" t="inlineStr">
        <is>
          <t>Carga efectiva</t>
        </is>
      </c>
    </row>
    <row r="5">
      <c r="A5" s="6" t="inlineStr">
        <is>
          <t>A — Operativo</t>
        </is>
      </c>
      <c r="B5" s="9" t="n">
        <v>8000</v>
      </c>
      <c r="C5" s="10" t="n"/>
      <c r="D5" s="11" t="n"/>
      <c r="E5" s="12" t="n"/>
      <c r="F5" s="10" t="n"/>
      <c r="G5" s="10" t="n"/>
      <c r="H5" s="10" t="n"/>
      <c r="I5" s="12" t="n"/>
    </row>
    <row r="6">
      <c r="A6" s="6" t="inlineStr">
        <is>
          <t>B — Analista</t>
        </is>
      </c>
      <c r="B6" s="9" t="n">
        <v>15000</v>
      </c>
      <c r="C6" s="10" t="n"/>
      <c r="D6" s="11" t="n"/>
      <c r="E6" s="12" t="n"/>
      <c r="F6" s="10" t="n"/>
      <c r="G6" s="10" t="n"/>
      <c r="H6" s="10" t="n"/>
      <c r="I6" s="12" t="n"/>
    </row>
    <row r="7">
      <c r="A7" s="6" t="inlineStr">
        <is>
          <t>C — Coordinador</t>
        </is>
      </c>
      <c r="B7" s="9" t="n">
        <v>25000</v>
      </c>
      <c r="C7" s="10" t="n"/>
      <c r="D7" s="11" t="n"/>
      <c r="E7" s="12" t="n"/>
      <c r="F7" s="10" t="n"/>
      <c r="G7" s="10" t="n"/>
      <c r="H7" s="10" t="n"/>
      <c r="I7" s="12" t="n"/>
    </row>
    <row r="8">
      <c r="A8" s="6" t="inlineStr">
        <is>
          <t>D — Gerente</t>
        </is>
      </c>
      <c r="B8" s="9" t="n">
        <v>50000</v>
      </c>
      <c r="C8" s="10" t="n"/>
      <c r="D8" s="11" t="n"/>
      <c r="E8" s="12" t="n"/>
      <c r="F8" s="10" t="n"/>
      <c r="G8" s="10" t="n"/>
      <c r="H8" s="10" t="n"/>
      <c r="I8" s="12" t="n"/>
    </row>
    <row r="9">
      <c r="A9" s="6" t="inlineStr">
        <is>
          <t>E — Directivo</t>
        </is>
      </c>
      <c r="B9" s="9" t="n">
        <v>200000</v>
      </c>
      <c r="C9" s="10" t="n"/>
      <c r="D9" s="11" t="n"/>
      <c r="E9" s="12" t="n"/>
      <c r="F9" s="10" t="n"/>
      <c r="G9" s="10" t="n"/>
      <c r="H9" s="10" t="n"/>
      <c r="I9" s="12" t="n"/>
    </row>
    <row r="12">
      <c r="A12" s="2" t="inlineStr">
        <is>
          <t>Celdas amarillas = input. Celdas blancas = a calcular.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3" customWidth="1" min="4" max="4"/>
    <col width="10" customWidth="1" min="5" max="5"/>
    <col width="15" customWidth="1" min="6" max="6"/>
    <col width="13" customWidth="1" min="7" max="7"/>
    <col width="14" customWidth="1" min="8" max="8"/>
    <col width="12" customWidth="1" min="9" max="9"/>
  </cols>
  <sheetData>
    <row r="1" ht="24" customHeight="1">
      <c r="A1" s="1" t="inlineStr">
        <is>
          <t>Solución — referencia con fórmulas</t>
        </is>
      </c>
    </row>
    <row r="2">
      <c r="A2" s="2" t="inlineStr">
        <is>
          <t>Fórmulas con BUSCARV sobre la hoja Datos.</t>
        </is>
      </c>
    </row>
    <row r="4">
      <c r="A4" s="5" t="inlineStr">
        <is>
          <t>Caso</t>
        </is>
      </c>
      <c r="B4" s="5" t="inlineStr">
        <is>
          <t>Sueldo (input)</t>
        </is>
      </c>
      <c r="C4" s="5" t="inlineStr">
        <is>
          <t>LI aplicable</t>
        </is>
      </c>
      <c r="D4" s="5" t="inlineStr">
        <is>
          <t>Excedente</t>
        </is>
      </c>
      <c r="E4" s="5" t="inlineStr">
        <is>
          <t>Tasa</t>
        </is>
      </c>
      <c r="F4" s="5" t="inlineStr">
        <is>
          <t>Imp. marginal</t>
        </is>
      </c>
      <c r="G4" s="5" t="inlineStr">
        <is>
          <t>Cuota fija</t>
        </is>
      </c>
      <c r="H4" s="5" t="inlineStr">
        <is>
          <t>ISR</t>
        </is>
      </c>
      <c r="I4" s="5" t="inlineStr">
        <is>
          <t>Carga efectiva</t>
        </is>
      </c>
    </row>
    <row r="5">
      <c r="A5" s="6" t="inlineStr">
        <is>
          <t>A — Operativo</t>
        </is>
      </c>
      <c r="B5" s="13" t="n">
        <v>8000</v>
      </c>
      <c r="C5" s="10">
        <f>VLOOKUP(B5,Datos!$B$5:$E$15,1,TRUE)</f>
        <v/>
      </c>
      <c r="D5" s="10">
        <f>B5-C5</f>
        <v/>
      </c>
      <c r="E5" s="12">
        <f>VLOOKUP(B5,Datos!$B$5:$E$15,4,TRUE)</f>
        <v/>
      </c>
      <c r="F5" s="10">
        <f>D5*E5</f>
        <v/>
      </c>
      <c r="G5" s="10">
        <f>VLOOKUP(B5,Datos!$B$5:$E$15,3,TRUE)</f>
        <v/>
      </c>
      <c r="H5" s="14">
        <f>F5+G5</f>
        <v/>
      </c>
      <c r="I5" s="12">
        <f>H5/B5</f>
        <v/>
      </c>
    </row>
    <row r="6">
      <c r="A6" s="6" t="inlineStr">
        <is>
          <t>B — Analista</t>
        </is>
      </c>
      <c r="B6" s="13" t="n">
        <v>15000</v>
      </c>
      <c r="C6" s="10">
        <f>VLOOKUP(B6,Datos!$B$5:$E$15,1,TRUE)</f>
        <v/>
      </c>
      <c r="D6" s="10">
        <f>B6-C6</f>
        <v/>
      </c>
      <c r="E6" s="12">
        <f>VLOOKUP(B6,Datos!$B$5:$E$15,4,TRUE)</f>
        <v/>
      </c>
      <c r="F6" s="10">
        <f>D6*E6</f>
        <v/>
      </c>
      <c r="G6" s="10">
        <f>VLOOKUP(B6,Datos!$B$5:$E$15,3,TRUE)</f>
        <v/>
      </c>
      <c r="H6" s="14">
        <f>F6+G6</f>
        <v/>
      </c>
      <c r="I6" s="12">
        <f>H6/B6</f>
        <v/>
      </c>
    </row>
    <row r="7">
      <c r="A7" s="6" t="inlineStr">
        <is>
          <t>C — Coordinador</t>
        </is>
      </c>
      <c r="B7" s="13" t="n">
        <v>25000</v>
      </c>
      <c r="C7" s="10">
        <f>VLOOKUP(B7,Datos!$B$5:$E$15,1,TRUE)</f>
        <v/>
      </c>
      <c r="D7" s="10">
        <f>B7-C7</f>
        <v/>
      </c>
      <c r="E7" s="12">
        <f>VLOOKUP(B7,Datos!$B$5:$E$15,4,TRUE)</f>
        <v/>
      </c>
      <c r="F7" s="10">
        <f>D7*E7</f>
        <v/>
      </c>
      <c r="G7" s="10">
        <f>VLOOKUP(B7,Datos!$B$5:$E$15,3,TRUE)</f>
        <v/>
      </c>
      <c r="H7" s="14">
        <f>F7+G7</f>
        <v/>
      </c>
      <c r="I7" s="12">
        <f>H7/B7</f>
        <v/>
      </c>
    </row>
    <row r="8">
      <c r="A8" s="6" t="inlineStr">
        <is>
          <t>D — Gerente</t>
        </is>
      </c>
      <c r="B8" s="13" t="n">
        <v>50000</v>
      </c>
      <c r="C8" s="10">
        <f>VLOOKUP(B8,Datos!$B$5:$E$15,1,TRUE)</f>
        <v/>
      </c>
      <c r="D8" s="10">
        <f>B8-C8</f>
        <v/>
      </c>
      <c r="E8" s="12">
        <f>VLOOKUP(B8,Datos!$B$5:$E$15,4,TRUE)</f>
        <v/>
      </c>
      <c r="F8" s="10">
        <f>D8*E8</f>
        <v/>
      </c>
      <c r="G8" s="10">
        <f>VLOOKUP(B8,Datos!$B$5:$E$15,3,TRUE)</f>
        <v/>
      </c>
      <c r="H8" s="14">
        <f>F8+G8</f>
        <v/>
      </c>
      <c r="I8" s="12">
        <f>H8/B8</f>
        <v/>
      </c>
    </row>
    <row r="9">
      <c r="A9" s="6" t="inlineStr">
        <is>
          <t>E — Directivo</t>
        </is>
      </c>
      <c r="B9" s="13" t="n">
        <v>200000</v>
      </c>
      <c r="C9" s="10">
        <f>VLOOKUP(B9,Datos!$B$5:$E$15,1,TRUE)</f>
        <v/>
      </c>
      <c r="D9" s="10">
        <f>B9-C9</f>
        <v/>
      </c>
      <c r="E9" s="12">
        <f>VLOOKUP(B9,Datos!$B$5:$E$15,4,TRUE)</f>
        <v/>
      </c>
      <c r="F9" s="10">
        <f>D9*E9</f>
        <v/>
      </c>
      <c r="G9" s="10">
        <f>VLOOKUP(B9,Datos!$B$5:$E$15,3,TRUE)</f>
        <v/>
      </c>
      <c r="H9" s="14">
        <f>F9+G9</f>
        <v/>
      </c>
      <c r="I9" s="12">
        <f>H9/B9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2026-04-23T00:06:09Z</dcterms:created>
  <dcterms:modified xmlns:dcterms="http://purl.org/dc/terms/" xmlns:xsi="http://www.w3.org/2001/XMLSchema-instance" xsi:type="dcterms:W3CDTF">2026-04-23T00:06:09Z</dcterms:modified>
</cp:coreProperties>
</file>