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Datos" sheetId="2" state="visible" r:id="rId2"/>
    <sheet name="Ejercicio" sheetId="3" state="visible" r:id="rId3"/>
    <sheet name="Solu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8">
    <font>
      <name val="Calibri"/>
      <family val="2"/>
      <color theme="1"/>
      <sz val="11"/>
      <scheme val="minor"/>
    </font>
    <font>
      <name val="Inter"/>
      <b val="1"/>
      <color rgb="000A1628"/>
      <sz val="16"/>
    </font>
    <font>
      <name val="Inter"/>
      <color rgb="00555249"/>
      <sz val="10"/>
    </font>
    <font>
      <name val="Inter"/>
      <color rgb="000A1628"/>
      <sz val="11"/>
    </font>
    <font>
      <name val="Inter"/>
      <b val="1"/>
      <color rgb="000A1628"/>
      <sz val="11"/>
    </font>
    <font>
      <name val="Inter"/>
      <i val="1"/>
      <color rgb="00B00020"/>
      <sz val="10"/>
    </font>
    <font>
      <name val="Inter"/>
      <b val="1"/>
      <color rgb="00FFFFFF"/>
      <sz val="10"/>
    </font>
    <font>
      <name val="Inter"/>
      <b val="1"/>
      <color rgb="000B5FFF"/>
      <sz val="11"/>
    </font>
  </fonts>
  <fills count="6">
    <fill>
      <patternFill/>
    </fill>
    <fill>
      <patternFill patternType="gray125"/>
    </fill>
    <fill>
      <patternFill patternType="solid">
        <fgColor rgb="000B5FFF"/>
      </patternFill>
    </fill>
    <fill>
      <patternFill patternType="solid">
        <fgColor rgb="00FFF9C4"/>
      </patternFill>
    </fill>
    <fill>
      <patternFill patternType="solid">
        <fgColor rgb="00EFF4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4D1C9"/>
      </left>
      <right style="thin">
        <color rgb="00D4D1C9"/>
      </right>
      <top style="thin">
        <color rgb="00D4D1C9"/>
      </top>
      <bottom style="thin">
        <color rgb="00D4D1C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164" fontId="7" fillId="0" borderId="1" pivotButton="0" quotePrefix="0" xfId="0"/>
    <xf numFmtId="165" fontId="3" fillId="0" borderId="1" pivotButton="0" quotePrefix="0" xfId="0"/>
    <xf numFmtId="0" fontId="3" fillId="0" borderId="1" pivotButton="0" quotePrefix="0" xfId="0"/>
    <xf numFmtId="165" fontId="3" fillId="3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5" fillId="0" borderId="0" pivotButton="0" quotePrefix="0" xfId="0"/>
    <xf numFmtId="165" fontId="3" fillId="4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26" customHeight="1">
      <c r="A1" s="1" t="inlineStr">
        <is>
          <t>Ejercicio 1 — Deducciones Personales y Tope Global 2026</t>
        </is>
      </c>
    </row>
    <row r="2">
      <c r="A2" s="2" t="inlineStr">
        <is>
          <t>Arts. 151 y 185 LISR · Decreto colegiaturas DOF 26-dic-2013</t>
        </is>
      </c>
    </row>
    <row r="3">
      <c r="A3" s="3" t="inlineStr"/>
    </row>
    <row r="4">
      <c r="A4" s="4" t="inlineStr">
        <is>
          <t>OBJETIVO</t>
        </is>
      </c>
    </row>
    <row r="5">
      <c r="A5" s="3" t="inlineStr">
        <is>
          <t>Clasificar gastos, aplicar los límites específicos de cada fracción (especialmente el límite SMG del Art. 151 Frac. V) y calcular el tope global de deducciones personales para cuatro perfiles distintos.</t>
        </is>
      </c>
    </row>
    <row r="6">
      <c r="A6" s="3" t="inlineStr"/>
    </row>
    <row r="7">
      <c r="A7" s="4" t="inlineStr">
        <is>
          <t>REGLAS CLAVE</t>
        </is>
      </c>
    </row>
    <row r="8">
      <c r="A8" s="3" t="inlineStr">
        <is>
          <t xml:space="preserve">  • Tope global = el MENOR de: (a) 5 UMAs anuales = $213,973.20 ó (b) 15% de los ingresos acumulables del ejercicio.</t>
        </is>
      </c>
    </row>
    <row r="9">
      <c r="A9" s="3" t="inlineStr">
        <is>
          <t xml:space="preserve">  • Colegiaturas (Decreto 2013) quedan FUERA del tope global — se suman al final.</t>
        </is>
      </c>
    </row>
    <row r="10">
      <c r="A10" s="3" t="inlineStr">
        <is>
          <t xml:space="preserve">  • Art. 151 Frac. V — PPR/PPAP: límite = el MENOR de (a) 10% de ingresos ó (b) 5 SMG anuales ($574,948.00).</t>
        </is>
      </c>
    </row>
    <row r="11">
      <c r="A11" s="5" t="inlineStr">
        <is>
          <t xml:space="preserve">    OJO: El límite es 5 SALARIOS MÍNIMOS, NO 5 UMAs. Error frecuente en muchos materiales de capacitación.</t>
        </is>
      </c>
    </row>
    <row r="12">
      <c r="A12" s="3" t="inlineStr">
        <is>
          <t xml:space="preserve">  • Gastos con clave CFDI incorrecta (ej. G03 en lugar de D01) NO son deducibles como personales.</t>
        </is>
      </c>
    </row>
    <row r="13">
      <c r="A13" s="3" t="inlineStr"/>
    </row>
    <row r="14">
      <c r="A14" s="4" t="inlineStr">
        <is>
          <t>PASOS</t>
        </is>
      </c>
    </row>
    <row r="15">
      <c r="A15" s="3" t="inlineStr">
        <is>
          <t>1. Ve a la hoja 'Datos' — revisa los catálogos de referencia (UMA, SMG, colegiaturas).</t>
        </is>
      </c>
    </row>
    <row r="16">
      <c r="A16" s="3" t="inlineStr">
        <is>
          <t>2. Ve a la hoja 'Ejercicio'. Tienes 4 perfiles con sus gastos (celdas amarillas = input ya proporcionado).</t>
        </is>
      </c>
    </row>
    <row r="17">
      <c r="A17" s="3" t="inlineStr">
        <is>
          <t>3. Para cada perfil calcula en las celdas blancas:</t>
        </is>
      </c>
    </row>
    <row r="18">
      <c r="A18" s="3" t="inlineStr">
        <is>
          <t xml:space="preserve">      Col H — PPR con límite: =MIN(G?, B?*10%, 574948)</t>
        </is>
      </c>
    </row>
    <row r="19">
      <c r="A19" s="3" t="inlineStr">
        <is>
          <t xml:space="preserve">             donde G? = aportación bruta declarada, B? = ingresos anuales</t>
        </is>
      </c>
    </row>
    <row r="20">
      <c r="A20" s="3" t="inlineStr">
        <is>
          <t xml:space="preserve">      Col I — Subtotal Arts. 151+185: suma de D?+E?+F?+H? (sin colegiaturas)</t>
        </is>
      </c>
    </row>
    <row r="21">
      <c r="A21" s="3" t="inlineStr">
        <is>
          <t xml:space="preserve">      Col J — Tope 15%: =B?*15%</t>
        </is>
      </c>
    </row>
    <row r="22">
      <c r="A22" s="3" t="inlineStr">
        <is>
          <t xml:space="preserve">      Col K — Tope 5 UMAs: =$213,973.20 (constante en hoja Datos)</t>
        </is>
      </c>
    </row>
    <row r="23">
      <c r="A23" s="3" t="inlineStr">
        <is>
          <t xml:space="preserve">      Col L — Tope aplicable: =MIN(J?,K?)</t>
        </is>
      </c>
    </row>
    <row r="24">
      <c r="A24" s="3" t="inlineStr">
        <is>
          <t xml:space="preserve">      Col M — Deducción Arts. 151+185: =MIN(I?,L?)  ← la que entra a la declaración</t>
        </is>
      </c>
    </row>
    <row r="25">
      <c r="A25" s="3" t="inlineStr">
        <is>
          <t xml:space="preserve">      Col N — Deducción TOTAL: =M?+C?  ← suma colegiaturas (fuera de tope)</t>
        </is>
      </c>
    </row>
    <row r="26">
      <c r="A26" s="3" t="inlineStr">
        <is>
          <t>4. Compara con la hoja 'Solución' al final.</t>
        </is>
      </c>
    </row>
    <row r="27">
      <c r="A27" s="3" t="inlineStr"/>
    </row>
    <row r="28">
      <c r="A28" s="4" t="inlineStr">
        <is>
          <t>TIEMPO SUGERIDO: 20 minutos</t>
        </is>
      </c>
    </row>
    <row r="29">
      <c r="A29" s="3" t="inlineStr"/>
    </row>
    <row r="30">
      <c r="A30" s="4" t="inlineStr">
        <is>
          <t>DISCUSIÓN EN PLENARIA</t>
        </is>
      </c>
    </row>
    <row r="31">
      <c r="A31" s="3" t="inlineStr">
        <is>
          <t>¿A partir de qué nivel de ingresos el tope global deja de ser el 15% y pasa a ser fijo en $213,973?</t>
        </is>
      </c>
    </row>
    <row r="32">
      <c r="A32" s="3" t="inlineStr">
        <is>
          <t>¿Por qué alguien con $3,000,000 de ingreso puede ser que sus deducciones personales no le signifiquen gran ahorro?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0" customWidth="1" min="3" max="3"/>
    <col width="16" customWidth="1" min="4" max="4"/>
    <col width="14" customWidth="1" min="5" max="5"/>
  </cols>
  <sheetData>
    <row r="1" ht="26" customHeight="1">
      <c r="A1" s="1" t="inlineStr">
        <is>
          <t>Catálogos de referencia 2026</t>
        </is>
      </c>
    </row>
    <row r="2">
      <c r="A2" s="2" t="inlineStr">
        <is>
          <t>Anexo 8 RMF 2026 · DOF 28-dic-2025</t>
        </is>
      </c>
    </row>
    <row r="3">
      <c r="A3" s="6" t="inlineStr">
        <is>
          <t>Tarifa anual 2026 (Art. 152 LISR)</t>
        </is>
      </c>
    </row>
    <row r="4">
      <c r="A4" s="7" t="inlineStr">
        <is>
          <t>#</t>
        </is>
      </c>
      <c r="B4" s="7" t="inlineStr">
        <is>
          <t>Límite inferior</t>
        </is>
      </c>
      <c r="C4" s="7" t="inlineStr">
        <is>
          <t>Límite superior</t>
        </is>
      </c>
      <c r="D4" s="7" t="inlineStr">
        <is>
          <t>Cuota fija</t>
        </is>
      </c>
      <c r="E4" s="7" t="inlineStr">
        <is>
          <t>% excedente</t>
        </is>
      </c>
    </row>
    <row r="5">
      <c r="A5" s="8" t="n">
        <v>1</v>
      </c>
      <c r="B5" s="9" t="n">
        <v>0.01</v>
      </c>
      <c r="C5" s="9" t="n">
        <v>10134.92</v>
      </c>
      <c r="D5" s="9" t="n">
        <v>0</v>
      </c>
      <c r="E5" s="10" t="n">
        <v>0.0192</v>
      </c>
    </row>
    <row r="6">
      <c r="A6" s="8" t="n">
        <v>2</v>
      </c>
      <c r="B6" s="9" t="n">
        <v>10134.93</v>
      </c>
      <c r="C6" s="9" t="n">
        <v>85991.07000000001</v>
      </c>
      <c r="D6" s="9" t="n">
        <v>194.59</v>
      </c>
      <c r="E6" s="10" t="n">
        <v>0.064</v>
      </c>
    </row>
    <row r="7">
      <c r="A7" s="8" t="n">
        <v>3</v>
      </c>
      <c r="B7" s="9" t="n">
        <v>85991.08</v>
      </c>
      <c r="C7" s="9" t="n">
        <v>151120.33</v>
      </c>
      <c r="D7" s="9" t="n">
        <v>5049.5</v>
      </c>
      <c r="E7" s="10" t="n">
        <v>0.1088</v>
      </c>
    </row>
    <row r="8">
      <c r="A8" s="8" t="n">
        <v>4</v>
      </c>
      <c r="B8" s="9" t="n">
        <v>151120.34</v>
      </c>
      <c r="C8" s="9" t="n">
        <v>175595.6</v>
      </c>
      <c r="D8" s="9" t="n">
        <v>12132.58</v>
      </c>
      <c r="E8" s="10" t="n">
        <v>0.16</v>
      </c>
    </row>
    <row r="9">
      <c r="A9" s="8" t="n">
        <v>5</v>
      </c>
      <c r="B9" s="9" t="n">
        <v>175595.61</v>
      </c>
      <c r="C9" s="9" t="n">
        <v>210281.4</v>
      </c>
      <c r="D9" s="9" t="n">
        <v>16008.6</v>
      </c>
      <c r="E9" s="10" t="n">
        <v>0.1792</v>
      </c>
    </row>
    <row r="10">
      <c r="A10" s="8" t="n">
        <v>6</v>
      </c>
      <c r="B10" s="9" t="n">
        <v>210281.41</v>
      </c>
      <c r="C10" s="9" t="n">
        <v>423595.89</v>
      </c>
      <c r="D10" s="9" t="n">
        <v>22224.52</v>
      </c>
      <c r="E10" s="10" t="n">
        <v>0.2136</v>
      </c>
    </row>
    <row r="11">
      <c r="A11" s="8" t="n">
        <v>7</v>
      </c>
      <c r="B11" s="9" t="n">
        <v>423595.9</v>
      </c>
      <c r="C11" s="9" t="n">
        <v>667687.0600000001</v>
      </c>
      <c r="D11" s="9" t="n">
        <v>67811.42999999999</v>
      </c>
      <c r="E11" s="10" t="n">
        <v>0.2352</v>
      </c>
    </row>
    <row r="12">
      <c r="A12" s="8" t="n">
        <v>8</v>
      </c>
      <c r="B12" s="9" t="n">
        <v>667687.0699999999</v>
      </c>
      <c r="C12" s="9" t="n">
        <v>1276925.98</v>
      </c>
      <c r="D12" s="9" t="n">
        <v>125215.26</v>
      </c>
      <c r="E12" s="10" t="n">
        <v>0.3</v>
      </c>
    </row>
    <row r="13">
      <c r="A13" s="8" t="n">
        <v>9</v>
      </c>
      <c r="B13" s="9" t="n">
        <v>1276925.99</v>
      </c>
      <c r="C13" s="9" t="n">
        <v>1702567.97</v>
      </c>
      <c r="D13" s="9" t="n">
        <v>307989.62</v>
      </c>
      <c r="E13" s="10" t="n">
        <v>0.32</v>
      </c>
    </row>
    <row r="14">
      <c r="A14" s="8" t="n">
        <v>10</v>
      </c>
      <c r="B14" s="9" t="n">
        <v>1702567.98</v>
      </c>
      <c r="C14" s="9" t="n">
        <v>5107703.9</v>
      </c>
      <c r="D14" s="9" t="n">
        <v>448131.88</v>
      </c>
      <c r="E14" s="10" t="n">
        <v>0.34</v>
      </c>
    </row>
    <row r="15">
      <c r="A15" s="8" t="n">
        <v>11</v>
      </c>
      <c r="B15" s="9" t="n">
        <v>5107703.91</v>
      </c>
      <c r="C15" s="9" t="n">
        <v>999999999.99</v>
      </c>
      <c r="D15" s="9" t="n">
        <v>1606771.1</v>
      </c>
      <c r="E15" s="10" t="n">
        <v>0.35</v>
      </c>
    </row>
    <row r="17">
      <c r="A17" s="6" t="inlineStr">
        <is>
          <t>Constantes 2026</t>
        </is>
      </c>
    </row>
    <row r="18">
      <c r="A18" s="11" t="inlineStr">
        <is>
          <t>UMA diaria (enero 2026)</t>
        </is>
      </c>
      <c r="B18" s="12" t="n">
        <v>113.14</v>
      </c>
    </row>
    <row r="19">
      <c r="A19" s="11" t="inlineStr">
        <is>
          <t>UMA anual 2026</t>
        </is>
      </c>
      <c r="B19" s="12" t="n">
        <v>42794.64</v>
      </c>
    </row>
    <row r="20">
      <c r="A20" s="11" t="inlineStr">
        <is>
          <t>5 UMAs anuales (tope global Arts. 151+185)</t>
        </is>
      </c>
      <c r="B20" s="12" t="n">
        <v>213973.2</v>
      </c>
    </row>
    <row r="21">
      <c r="A21" s="11" t="inlineStr">
        <is>
          <t>SMG diario 2026</t>
        </is>
      </c>
      <c r="B21" s="12" t="n">
        <v>315.04</v>
      </c>
    </row>
    <row r="22">
      <c r="A22" s="11" t="inlineStr">
        <is>
          <t>SMG anual 2026 (365 días)</t>
        </is>
      </c>
      <c r="B22" s="12" t="n">
        <v>114989.6</v>
      </c>
    </row>
    <row r="23">
      <c r="A23" s="11" t="inlineStr">
        <is>
          <t>5 SMG anuales — límite Art. 151 Frac. V (PPR/PPAP)</t>
        </is>
      </c>
      <c r="B23" s="12" t="n">
        <v>574948</v>
      </c>
    </row>
    <row r="25">
      <c r="A25" s="6" t="inlineStr">
        <is>
          <t>Límites de colegiaturas (Decreto DOF 26-dic-2013)</t>
        </is>
      </c>
    </row>
    <row r="26">
      <c r="A26" s="11" t="inlineStr">
        <is>
          <t>Preescolar</t>
        </is>
      </c>
      <c r="B26" s="13" t="n">
        <v>14200</v>
      </c>
    </row>
    <row r="27">
      <c r="A27" s="11" t="inlineStr">
        <is>
          <t>Primaria</t>
        </is>
      </c>
      <c r="B27" s="13" t="n">
        <v>12900</v>
      </c>
    </row>
    <row r="28">
      <c r="A28" s="11" t="inlineStr">
        <is>
          <t>Secundaria</t>
        </is>
      </c>
      <c r="B28" s="13" t="n">
        <v>19900</v>
      </c>
    </row>
    <row r="29">
      <c r="A29" s="11" t="inlineStr">
        <is>
          <t>Profesional técnico</t>
        </is>
      </c>
      <c r="B29" s="13" t="n">
        <v>17100</v>
      </c>
    </row>
    <row r="30">
      <c r="A30" s="11" t="inlineStr">
        <is>
          <t>Bachillerato / preparatoria</t>
        </is>
      </c>
      <c r="B30" s="13" t="n">
        <v>24500</v>
      </c>
    </row>
    <row r="31">
      <c r="A31" s="11" t="inlineStr">
        <is>
          <t>Licenciatura y superior</t>
        </is>
      </c>
      <c r="B31" s="14" t="inlineStr">
        <is>
          <t>No aplica el decreto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4" customWidth="1" min="9" max="9"/>
    <col width="12" customWidth="1" min="10" max="10"/>
    <col width="12" customWidth="1" min="11" max="11"/>
    <col width="13" customWidth="1" min="12" max="12"/>
    <col width="16" customWidth="1" min="13" max="13"/>
    <col width="16" customWidth="1" min="14" max="14"/>
  </cols>
  <sheetData>
    <row r="1" ht="26" customHeight="1">
      <c r="A1" s="1" t="inlineStr">
        <is>
          <t>4 perfiles — Deducciones personales 2026</t>
        </is>
      </c>
    </row>
    <row r="2">
      <c r="A2" s="2" t="inlineStr">
        <is>
          <t>Celdas amarillas = input ya dado. Celdas blancas = a calcular.</t>
        </is>
      </c>
    </row>
    <row r="4" ht="40" customHeight="1">
      <c r="A4" s="7" t="inlineStr">
        <is>
          <t>Perfil</t>
        </is>
      </c>
      <c r="B4" s="7" t="inlineStr">
        <is>
          <t>Ingresos anuales</t>
        </is>
      </c>
      <c r="C4" s="7" t="inlineStr">
        <is>
          <t>Colegiaturas (D10)
[fuera de tope]</t>
        </is>
      </c>
      <c r="D4" s="7" t="inlineStr">
        <is>
          <t>Médicos/hospital
(D01)</t>
        </is>
      </c>
      <c r="E4" s="7" t="inlineStr">
        <is>
          <t>Seguros GMM
(D07)</t>
        </is>
      </c>
      <c r="F4" s="7" t="inlineStr">
        <is>
          <t>Intereses
hipoteca (D05)</t>
        </is>
      </c>
      <c r="G4" s="7" t="inlineStr">
        <is>
          <t>PPR bruto
declarado (D06)</t>
        </is>
      </c>
      <c r="H4" s="7" t="inlineStr">
        <is>
          <t>PPR con límite
(Min 10%/5SMG)</t>
        </is>
      </c>
      <c r="I4" s="7" t="inlineStr">
        <is>
          <t>Subtotal
Arts. 151+185</t>
        </is>
      </c>
      <c r="J4" s="7" t="inlineStr">
        <is>
          <t>Tope 15%
ingreso</t>
        </is>
      </c>
      <c r="K4" s="7" t="inlineStr">
        <is>
          <t>Tope 5 UMAs
$213,973.20</t>
        </is>
      </c>
      <c r="L4" s="7" t="inlineStr">
        <is>
          <t>Tope que
aplica (Min)</t>
        </is>
      </c>
      <c r="M4" s="7" t="inlineStr">
        <is>
          <t>Deducción
Arts.151+185</t>
        </is>
      </c>
      <c r="N4" s="7" t="inlineStr">
        <is>
          <t>Deducción
TOTAL</t>
        </is>
      </c>
    </row>
    <row r="5" ht="18" customHeight="1">
      <c r="A5" s="8" t="inlineStr">
        <is>
          <t>Sofía — Asalariada $350K</t>
        </is>
      </c>
      <c r="B5" s="15" t="n">
        <v>350000</v>
      </c>
      <c r="C5" s="15" t="n">
        <v>24500</v>
      </c>
      <c r="D5" s="15" t="n">
        <v>45000</v>
      </c>
      <c r="E5" s="15" t="n">
        <v>18000</v>
      </c>
      <c r="F5" s="15" t="n">
        <v>0</v>
      </c>
      <c r="G5" s="15" t="n">
        <v>35000</v>
      </c>
      <c r="H5" s="16" t="n"/>
      <c r="I5" s="16" t="n"/>
      <c r="J5" s="16" t="n"/>
      <c r="K5" s="16" t="n"/>
      <c r="L5" s="16" t="n"/>
      <c r="M5" s="16" t="n"/>
      <c r="N5" s="16" t="n"/>
    </row>
    <row r="6" ht="18" customHeight="1">
      <c r="A6" s="8" t="inlineStr">
        <is>
          <t>Roberto — Contador $937K</t>
        </is>
      </c>
      <c r="B6" s="15" t="n">
        <v>937000</v>
      </c>
      <c r="C6" s="15" t="n">
        <v>24500</v>
      </c>
      <c r="D6" s="15" t="n">
        <v>60000</v>
      </c>
      <c r="E6" s="15" t="n">
        <v>24000</v>
      </c>
      <c r="F6" s="15" t="n">
        <v>28000</v>
      </c>
      <c r="G6" s="15" t="n">
        <v>90000</v>
      </c>
      <c r="H6" s="16" t="n"/>
      <c r="I6" s="16" t="n"/>
      <c r="J6" s="16" t="n"/>
      <c r="K6" s="16" t="n"/>
      <c r="L6" s="16" t="n"/>
      <c r="M6" s="16" t="n"/>
      <c r="N6" s="16" t="n"/>
    </row>
    <row r="7" ht="18" customHeight="1">
      <c r="A7" s="8" t="inlineStr">
        <is>
          <t>Gabriela — Arrendadora $180K</t>
        </is>
      </c>
      <c r="B7" s="15" t="n">
        <v>180000</v>
      </c>
      <c r="C7" s="15" t="n">
        <v>0</v>
      </c>
      <c r="D7" s="15" t="n">
        <v>8000</v>
      </c>
      <c r="E7" s="15" t="n">
        <v>12000</v>
      </c>
      <c r="F7" s="15" t="n">
        <v>0</v>
      </c>
      <c r="G7" s="15" t="n">
        <v>18000</v>
      </c>
      <c r="H7" s="16" t="n"/>
      <c r="I7" s="16" t="n"/>
      <c r="J7" s="16" t="n"/>
      <c r="K7" s="16" t="n"/>
      <c r="L7" s="16" t="n"/>
      <c r="M7" s="16" t="n"/>
      <c r="N7" s="16" t="n"/>
    </row>
    <row r="8" ht="18" customHeight="1">
      <c r="A8" s="8" t="inlineStr">
        <is>
          <t>Miguel — RESICO $480K</t>
        </is>
      </c>
      <c r="B8" s="15" t="n">
        <v>480000</v>
      </c>
      <c r="C8" s="15" t="n">
        <v>19900</v>
      </c>
      <c r="D8" s="15" t="n">
        <v>35000</v>
      </c>
      <c r="E8" s="15" t="n">
        <v>22000</v>
      </c>
      <c r="F8" s="15" t="n">
        <v>0</v>
      </c>
      <c r="G8" s="15" t="n">
        <v>48000</v>
      </c>
      <c r="H8" s="16" t="n"/>
      <c r="I8" s="16" t="n"/>
      <c r="J8" s="16" t="n"/>
      <c r="K8" s="16" t="n"/>
      <c r="L8" s="16" t="n"/>
      <c r="M8" s="16" t="n"/>
      <c r="N8" s="16" t="n"/>
    </row>
    <row r="11">
      <c r="A11" s="17" t="inlineStr">
        <is>
          <t>⚠ Art. 151 Frac. V: el límite PPR es 5 SMG anuales ($574,948), NO 5 UMAs. Ver hoja Datos.</t>
        </is>
      </c>
    </row>
    <row r="12">
      <c r="A12" s="17" t="inlineStr">
        <is>
          <t>⚠ Colegiaturas (col C) se suman DESPUÉS del tope — van directamente a la deducción total.</t>
        </is>
      </c>
    </row>
  </sheetData>
  <mergeCells count="2">
    <mergeCell ref="A11:G11"/>
    <mergeCell ref="A12:G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4" customWidth="1" min="9" max="9"/>
    <col width="12" customWidth="1" min="10" max="10"/>
    <col width="12" customWidth="1" min="11" max="11"/>
    <col width="13" customWidth="1" min="12" max="12"/>
    <col width="16" customWidth="1" min="13" max="13"/>
    <col width="16" customWidth="1" min="14" max="14"/>
  </cols>
  <sheetData>
    <row r="1" ht="26" customHeight="1">
      <c r="A1" s="1" t="inlineStr">
        <is>
          <t>Solución — fórmulas con las reglas correctas</t>
        </is>
      </c>
    </row>
    <row r="4" ht="40" customHeight="1">
      <c r="A4" s="7" t="inlineStr">
        <is>
          <t>Perfil</t>
        </is>
      </c>
      <c r="B4" s="7" t="inlineStr">
        <is>
          <t>Ingresos anuales</t>
        </is>
      </c>
      <c r="C4" s="7" t="inlineStr">
        <is>
          <t>Colegiaturas (D10)
[fuera de tope]</t>
        </is>
      </c>
      <c r="D4" s="7" t="inlineStr">
        <is>
          <t>Médicos/hospital
(D01)</t>
        </is>
      </c>
      <c r="E4" s="7" t="inlineStr">
        <is>
          <t>Seguros GMM
(D07)</t>
        </is>
      </c>
      <c r="F4" s="7" t="inlineStr">
        <is>
          <t>Intereses
hipoteca (D05)</t>
        </is>
      </c>
      <c r="G4" s="7" t="inlineStr">
        <is>
          <t>PPR bruto
declarado (D06)</t>
        </is>
      </c>
      <c r="H4" s="7" t="inlineStr">
        <is>
          <t>PPR con límite
(Min 10%/5SMG)</t>
        </is>
      </c>
      <c r="I4" s="7" t="inlineStr">
        <is>
          <t>Subtotal
Arts. 151+185</t>
        </is>
      </c>
      <c r="J4" s="7" t="inlineStr">
        <is>
          <t>Tope 15%
ingreso</t>
        </is>
      </c>
      <c r="K4" s="7" t="inlineStr">
        <is>
          <t>Tope 5 UMAs
$213,973.20</t>
        </is>
      </c>
      <c r="L4" s="7" t="inlineStr">
        <is>
          <t>Tope que
aplica (Min)</t>
        </is>
      </c>
      <c r="M4" s="7" t="inlineStr">
        <is>
          <t>Deducción
Arts.151+185</t>
        </is>
      </c>
      <c r="N4" s="7" t="inlineStr">
        <is>
          <t>Deducción
TOTAL</t>
        </is>
      </c>
    </row>
    <row r="5" ht="18" customHeight="1">
      <c r="A5" s="8" t="inlineStr">
        <is>
          <t>Sofía — Asalariada $350K</t>
        </is>
      </c>
      <c r="B5" s="18" t="n">
        <v>350000</v>
      </c>
      <c r="C5" s="18" t="n">
        <v>24500</v>
      </c>
      <c r="D5" s="18" t="n">
        <v>45000</v>
      </c>
      <c r="E5" s="18" t="n">
        <v>18000</v>
      </c>
      <c r="F5" s="18" t="n">
        <v>0</v>
      </c>
      <c r="G5" s="18" t="n">
        <v>35000</v>
      </c>
      <c r="H5" s="16">
        <f>MIN(G5,B5*0.10,574948.0)</f>
        <v/>
      </c>
      <c r="I5" s="16">
        <f>D5+E5+F5+H5</f>
        <v/>
      </c>
      <c r="J5" s="16">
        <f>B5*0.15</f>
        <v/>
      </c>
      <c r="K5" s="16" t="n">
        <v>213973.2</v>
      </c>
      <c r="L5" s="16">
        <f>MIN(J5,K5)</f>
        <v/>
      </c>
      <c r="M5" s="19">
        <f>MIN(I5,L5)</f>
        <v/>
      </c>
      <c r="N5" s="20">
        <f>M5+C5</f>
        <v/>
      </c>
    </row>
    <row r="6" ht="18" customHeight="1">
      <c r="A6" s="8" t="inlineStr">
        <is>
          <t>Roberto — Contador $937K</t>
        </is>
      </c>
      <c r="B6" s="18" t="n">
        <v>937000</v>
      </c>
      <c r="C6" s="18" t="n">
        <v>24500</v>
      </c>
      <c r="D6" s="18" t="n">
        <v>60000</v>
      </c>
      <c r="E6" s="18" t="n">
        <v>24000</v>
      </c>
      <c r="F6" s="18" t="n">
        <v>28000</v>
      </c>
      <c r="G6" s="18" t="n">
        <v>90000</v>
      </c>
      <c r="H6" s="16">
        <f>MIN(G6,B6*0.10,574948.0)</f>
        <v/>
      </c>
      <c r="I6" s="16">
        <f>D6+E6+F6+H6</f>
        <v/>
      </c>
      <c r="J6" s="16">
        <f>B6*0.15</f>
        <v/>
      </c>
      <c r="K6" s="16" t="n">
        <v>213973.2</v>
      </c>
      <c r="L6" s="16">
        <f>MIN(J6,K6)</f>
        <v/>
      </c>
      <c r="M6" s="19">
        <f>MIN(I6,L6)</f>
        <v/>
      </c>
      <c r="N6" s="20">
        <f>M6+C6</f>
        <v/>
      </c>
    </row>
    <row r="7" ht="18" customHeight="1">
      <c r="A7" s="8" t="inlineStr">
        <is>
          <t>Gabriela — Arrendadora $180K</t>
        </is>
      </c>
      <c r="B7" s="18" t="n">
        <v>180000</v>
      </c>
      <c r="C7" s="18" t="n">
        <v>0</v>
      </c>
      <c r="D7" s="18" t="n">
        <v>8000</v>
      </c>
      <c r="E7" s="18" t="n">
        <v>12000</v>
      </c>
      <c r="F7" s="18" t="n">
        <v>0</v>
      </c>
      <c r="G7" s="18" t="n">
        <v>18000</v>
      </c>
      <c r="H7" s="16">
        <f>MIN(G7,B7*0.10,574948.0)</f>
        <v/>
      </c>
      <c r="I7" s="16">
        <f>D7+E7+F7+H7</f>
        <v/>
      </c>
      <c r="J7" s="16">
        <f>B7*0.15</f>
        <v/>
      </c>
      <c r="K7" s="16" t="n">
        <v>213973.2</v>
      </c>
      <c r="L7" s="16">
        <f>MIN(J7,K7)</f>
        <v/>
      </c>
      <c r="M7" s="19">
        <f>MIN(I7,L7)</f>
        <v/>
      </c>
      <c r="N7" s="20">
        <f>M7+C7</f>
        <v/>
      </c>
    </row>
    <row r="8" ht="18" customHeight="1">
      <c r="A8" s="8" t="inlineStr">
        <is>
          <t>Miguel — RESICO $480K</t>
        </is>
      </c>
      <c r="B8" s="18" t="n">
        <v>480000</v>
      </c>
      <c r="C8" s="18" t="n">
        <v>19900</v>
      </c>
      <c r="D8" s="18" t="n">
        <v>35000</v>
      </c>
      <c r="E8" s="18" t="n">
        <v>22000</v>
      </c>
      <c r="F8" s="18" t="n">
        <v>0</v>
      </c>
      <c r="G8" s="18" t="n">
        <v>48000</v>
      </c>
      <c r="H8" s="16">
        <f>MIN(G8,B8*0.10,574948.0)</f>
        <v/>
      </c>
      <c r="I8" s="16">
        <f>D8+E8+F8+H8</f>
        <v/>
      </c>
      <c r="J8" s="16">
        <f>B8*0.15</f>
        <v/>
      </c>
      <c r="K8" s="16" t="n">
        <v>213973.2</v>
      </c>
      <c r="L8" s="16">
        <f>MIN(J8,K8)</f>
        <v/>
      </c>
      <c r="M8" s="19">
        <f>MIN(I8,L8)</f>
        <v/>
      </c>
      <c r="N8" s="20">
        <f>M8+C8</f>
        <v/>
      </c>
    </row>
    <row r="11">
      <c r="A11" s="17" t="inlineStr">
        <is>
          <t>Fórmula PPR (col H): =MIN(G,B*10%,574948) — límite es 5 SMG anuales, NOT 5 UMAs</t>
        </is>
      </c>
    </row>
  </sheetData>
  <mergeCells count="1">
    <mergeCell ref="A11:N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2026-04-22T20:35:35Z</dcterms:created>
  <dcterms:modified xsi:type="dcterms:W3CDTF">2026-04-22T20:35:35Z</dcterms:modified>
</cp:coreProperties>
</file>