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nálisis de Pagos" sheetId="1" state="visible" r:id="rId3"/>
    <sheet name="Inventario CFDI" sheetId="2" state="visible" r:id="rId4"/>
    <sheet name="Papel de Trabajo IVA"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<sst xmlns="http://schemas.openxmlformats.org/spreadsheetml/2006/main" count="129" uniqueCount="100">
  <si>
    <t xml:space="preserve">Análisis de pagos — Factura PPD liquidada en parcialidades</t>
  </si>
  <si>
    <t xml:space="preserve">Datos extraídos de los CFDI de ejemplo (RFC de prueba del SAT · datos ficticios)</t>
  </si>
  <si>
    <t xml:space="preserve">FACTURA DE ORIGEN (PPD)</t>
  </si>
  <si>
    <t xml:space="preserve">UUID:</t>
  </si>
  <si>
    <t xml:space="preserve">AAAAAAAA-BBBB-CCCC-DDDD-EEEEEEEEEEEE</t>
  </si>
  <si>
    <t xml:space="preserve">Serie-Folio:</t>
  </si>
  <si>
    <t xml:space="preserve">F-2026000</t>
  </si>
  <si>
    <t xml:space="preserve">Fecha de emisión:</t>
  </si>
  <si>
    <t xml:space="preserve">2026-02-15</t>
  </si>
  <si>
    <t xml:space="preserve">Método de pago:</t>
  </si>
  <si>
    <t xml:space="preserve">PPD</t>
  </si>
  <si>
    <t xml:space="preserve">Total (MXN):</t>
  </si>
  <si>
    <t xml:space="preserve">Base 16% (MXN):</t>
  </si>
  <si>
    <t xml:space="preserve">IVA 16% (MXN):</t>
  </si>
  <si>
    <t xml:space="preserve">PAGOS RECIBIDOS (COMPLEMENTO DE PAGO · REP)</t>
  </si>
  <si>
    <t xml:space="preserve"># Parc.</t>
  </si>
  <si>
    <t xml:space="preserve">Tipo</t>
  </si>
  <si>
    <t xml:space="preserve">Serie-Folio REP</t>
  </si>
  <si>
    <t xml:space="preserve">UUID del REP</t>
  </si>
  <si>
    <t xml:space="preserve">Fecha de pago</t>
  </si>
  <si>
    <t xml:space="preserve">Forma de pago</t>
  </si>
  <si>
    <t xml:space="preserve">Saldo anterior (MXN)</t>
  </si>
  <si>
    <t xml:space="preserve">Importe pagado (MXN)</t>
  </si>
  <si>
    <t xml:space="preserve">Saldo insoluto (MXN)</t>
  </si>
  <si>
    <t xml:space="preserve">Base IVA del pago (MXN)</t>
  </si>
  <si>
    <t xml:space="preserve">IVA del pago (MXN)</t>
  </si>
  <si>
    <t xml:space="preserve">% cubierto acum.</t>
  </si>
  <si>
    <t xml:space="preserve">P</t>
  </si>
  <si>
    <t xml:space="preserve">P-2026001</t>
  </si>
  <si>
    <t xml:space="preserve">B2C3D4E5-F6A7-2B3C-4D5E-6F7A8B9C0D1E</t>
  </si>
  <si>
    <t xml:space="preserve">2026-03-10</t>
  </si>
  <si>
    <t xml:space="preserve">03 Transferencia</t>
  </si>
  <si>
    <t xml:space="preserve">P-2026002</t>
  </si>
  <si>
    <t xml:space="preserve">C3D4E5F6-A7B8-3C4D-5E6F-7A8B9C0D1E2F</t>
  </si>
  <si>
    <t xml:space="preserve">2026-04-28</t>
  </si>
  <si>
    <t xml:space="preserve">TOTALES</t>
  </si>
  <si>
    <t xml:space="preserve">VERIFICACIÓN (CUADRE)</t>
  </si>
  <si>
    <t xml:space="preserve">Suma de pagos = Total de la factura</t>
  </si>
  <si>
    <t xml:space="preserve">Saldo insoluto final = 0 (liquidada)</t>
  </si>
  <si>
    <t xml:space="preserve">IVA de los pagos = IVA de la factura</t>
  </si>
  <si>
    <t xml:space="preserve">IVA ACREDITABLE POR PERIODO (se acredita al recibir el REP)</t>
  </si>
  <si>
    <t xml:space="preserve">Periodo</t>
  </si>
  <si>
    <t xml:space="preserve">REP que lo ampara</t>
  </si>
  <si>
    <t xml:space="preserve">IVA acreditable (MXN)</t>
  </si>
  <si>
    <t xml:space="preserve">Marzo 2026</t>
  </si>
  <si>
    <t xml:space="preserve">Abril 2026</t>
  </si>
  <si>
    <t xml:space="preserve">Total</t>
  </si>
  <si>
    <t xml:space="preserve">Convención: texto azul = dato tomado del XML · texto negro = cálculo (fórmula).</t>
  </si>
  <si>
    <t xml:space="preserve">Inventario de CFDI de ejemplo</t>
  </si>
  <si>
    <t xml:space="preserve">Archivo</t>
  </si>
  <si>
    <t xml:space="preserve">Tipo de comprobante</t>
  </si>
  <si>
    <t xml:space="preserve">Serie-Folio</t>
  </si>
  <si>
    <t xml:space="preserve">UUID</t>
  </si>
  <si>
    <t xml:space="preserve">Fecha</t>
  </si>
  <si>
    <t xml:space="preserve">Total (MXN)</t>
  </si>
  <si>
    <t xml:space="preserve">Notas</t>
  </si>
  <si>
    <t xml:space="preserve">cfdi-40-ppd-origen-clase.xml</t>
  </si>
  <si>
    <t xml:space="preserve">I · Ingreso (PPD)</t>
  </si>
  <si>
    <t xml:space="preserve">Factura de origen. Se liquida en 2 parcialidades documentadas con REP.</t>
  </si>
  <si>
    <t xml:space="preserve">cfdi-40-rep-ejemplo-clase.xml</t>
  </si>
  <si>
    <t xml:space="preserve">P · Pago (REP)</t>
  </si>
  <si>
    <t xml:space="preserve">Parcialidad 1 de F-2026000. IVA acreditable/causado en marzo.</t>
  </si>
  <si>
    <t xml:space="preserve">cfdi-40-rep2-ejemplo-clase.xml</t>
  </si>
  <si>
    <t xml:space="preserve">Parcialidad 2 (liquida) de F-2026000. IVA en abril.</t>
  </si>
  <si>
    <t xml:space="preserve">cfdi-40-ejemplo-clase.xml</t>
  </si>
  <si>
    <t xml:space="preserve">I · Ingreso (PUE)</t>
  </si>
  <si>
    <t xml:space="preserve">F-2026001</t>
  </si>
  <si>
    <t xml:space="preserve">A1B2C3D4-E5F6-1A2B-3C4D-5E6F7A8B9C0D</t>
  </si>
  <si>
    <t xml:space="preserve">2026-01-15</t>
  </si>
  <si>
    <t xml:space="preserve">Factura independiente, pago en una exhibición. No genera REP.</t>
  </si>
  <si>
    <t xml:space="preserve">La cadena de pagos (sombreada) son tres CFDI ligados por el UUID de F-2026000. La factura PUE es un documento aparte.</t>
  </si>
  <si>
    <t xml:space="preserve">Papel de trabajo — IVA por flujo de efectivo (operación PPD)</t>
  </si>
  <si>
    <t xml:space="preserve">El IVA se causa conforme se cobra; en una factura PPD, cada REP ubica el IVA en su periodo.</t>
  </si>
  <si>
    <t xml:space="preserve">OPERACIÓN</t>
  </si>
  <si>
    <t xml:space="preserve">Emisor (cobra y traslada IVA)</t>
  </si>
  <si>
    <t xml:space="preserve">ESCUELA KEMPER URGATE SA DE CV · EKU9003173C9</t>
  </si>
  <si>
    <t xml:space="preserve">Receptor (paga y acredita IVA)</t>
  </si>
  <si>
    <t xml:space="preserve">UNIVERSIDAD ROBOTICA ESPAÑOLA SC · URE180429TM6</t>
  </si>
  <si>
    <t xml:space="preserve">Factura de origen</t>
  </si>
  <si>
    <t xml:space="preserve">F-2026000 · PPD · emitida 2026-02-15</t>
  </si>
  <si>
    <t xml:space="preserve">Total de la factura (MXN)</t>
  </si>
  <si>
    <t xml:space="preserve">Base gravada 16% (MXN)</t>
  </si>
  <si>
    <t xml:space="preserve">IVA trasladado 16% (MXN)</t>
  </si>
  <si>
    <t xml:space="preserve">PRINCIPIO (FLUJO DE EFECTIVO)</t>
  </si>
  <si>
    <t xml:space="preserve">El IVA se causa cuando la contraprestación se cobra efectivamente (Art. 1-B y 17 LIVA), no al emitir la factura. En una operación PPD, el IVA del total facturado se reconoce conforme llegan los pagos, y el REP es el comprobante que lo ubica en cada periodo. Por eso una sola factura puede repartir su IVA en varios meses. En espejo, el receptor acredita ese IVA en el mes en que efectivamente paga (Art. 5, fracción III LIVA).</t>
  </si>
  <si>
    <t xml:space="preserve">IVA POR PERIODO</t>
  </si>
  <si>
    <t xml:space="preserve">REP</t>
  </si>
  <si>
    <t xml:space="preserve">Importe cobrado (MXN)</t>
  </si>
  <si>
    <t xml:space="preserve">IVA 16% (MXN)</t>
  </si>
  <si>
    <t xml:space="preserve">Febrero 2026</t>
  </si>
  <si>
    <t xml:space="preserve">(emisión, sin cobro)</t>
  </si>
  <si>
    <t xml:space="preserve">CÓMO SE REGISTRA EN CADA PARTE</t>
  </si>
  <si>
    <t xml:space="preserve">Emisor: IVA trasladado / a cargo (MXN)</t>
  </si>
  <si>
    <t xml:space="preserve">Receptor: IVA acreditable (MXN)</t>
  </si>
  <si>
    <t xml:space="preserve">Mismo importe por periodo; cambia el lado del registro: a cargo para quien cobra, acreditable para quien paga.</t>
  </si>
  <si>
    <t xml:space="preserve">CUADRE</t>
  </si>
  <si>
    <t xml:space="preserve">IVA reconocido en los pagos (MXN)</t>
  </si>
  <si>
    <t xml:space="preserve">IVA de la factura de origen (MXN)</t>
  </si>
  <si>
    <t xml:space="preserve">Verificación</t>
  </si>
  <si>
    <t xml:space="preserve">Fundamento: Arts. 1-B, 11 y 17 LIVA (causación del IVA por flujo de efectivo); Art. 5, fracción III LIVA (acreditamiento del IVA efectivamente pagado); Art. 32, fracción VIII LIVA (DIOT). El REP se rige por la regla 2.7.1.32 RMF.</t>
  </si>
</sst>
</file>

<file path=xl/styles.xml><?xml version="1.0" encoding="utf-8"?>
<styleSheet xmlns="http://schemas.openxmlformats.org/spreadsheetml/2006/main">
  <numFmts count="4">
    <numFmt numFmtId="164" formatCode="General"/>
    <numFmt numFmtId="165" formatCode="\$#,##0.00;&quot;($&quot;#,##0.00\);\-"/>
    <numFmt numFmtId="166" formatCode="0.0%"/>
    <numFmt numFmtId="167" formatCode="\$#,##0.00;&quot;($&quot;#,##0.00\);\-"/>
  </numFmts>
  <fonts count="17">
    <font>
      <sz val="11"/>
      <color theme="1"/>
      <name val="Calibri"/>
      <family val="2"/>
      <charset val="1"/>
    </font>
    <font>
      <sz val="10"/>
      <name val="Arial"/>
      <family val="0"/>
    </font>
    <font>
      <sz val="10"/>
      <name val="Arial"/>
      <family val="0"/>
    </font>
    <font>
      <sz val="10"/>
      <name val="Arial"/>
      <family val="0"/>
    </font>
    <font>
      <b val="true"/>
      <sz val="14"/>
      <color rgb="FF0A1628"/>
      <name val="Arial"/>
      <family val="0"/>
      <charset val="1"/>
    </font>
    <font>
      <i val="true"/>
      <sz val="9"/>
      <color rgb="FF666666"/>
      <name val="Arial"/>
      <family val="0"/>
      <charset val="1"/>
    </font>
    <font>
      <b val="true"/>
      <sz val="11"/>
      <color rgb="FFFFFFFF"/>
      <name val="Arial"/>
      <family val="0"/>
      <charset val="1"/>
    </font>
    <font>
      <b val="true"/>
      <sz val="10"/>
      <name val="Arial"/>
      <family val="0"/>
      <charset val="1"/>
    </font>
    <font>
      <sz val="10"/>
      <color rgb="FF0000FF"/>
      <name val="Arial"/>
      <family val="0"/>
      <charset val="1"/>
    </font>
    <font>
      <sz val="10"/>
      <color rgb="FF000000"/>
      <name val="Arial"/>
      <family val="0"/>
      <charset val="1"/>
    </font>
    <font>
      <b val="true"/>
      <sz val="10"/>
      <color rgb="FFFFFFFF"/>
      <name val="Arial"/>
      <family val="0"/>
      <charset val="1"/>
    </font>
    <font>
      <sz val="8"/>
      <color rgb="FF0000FF"/>
      <name val="Arial"/>
      <family val="0"/>
      <charset val="1"/>
    </font>
    <font>
      <b val="true"/>
      <sz val="10"/>
      <color rgb="FF1E7A1E"/>
      <name val="Arial"/>
      <family val="0"/>
      <charset val="1"/>
    </font>
    <font>
      <sz val="10"/>
      <name val="Arial"/>
      <family val="0"/>
      <charset val="1"/>
    </font>
    <font>
      <i val="true"/>
      <sz val="8"/>
      <color rgb="FF666666"/>
      <name val="Arial"/>
      <family val="0"/>
      <charset val="1"/>
    </font>
    <font>
      <sz val="8"/>
      <name val="Arial"/>
      <family val="0"/>
      <charset val="1"/>
    </font>
    <font>
      <sz val="10"/>
      <color rgb="FF008000"/>
      <name val="Arial"/>
      <family val="0"/>
      <charset val="1"/>
    </font>
  </fonts>
  <fills count="6">
    <fill>
      <patternFill patternType="none"/>
    </fill>
    <fill>
      <patternFill patternType="gray125"/>
    </fill>
    <fill>
      <patternFill patternType="solid">
        <fgColor rgb="FF0A1628"/>
        <bgColor rgb="FF000000"/>
      </patternFill>
    </fill>
    <fill>
      <patternFill patternType="solid">
        <fgColor rgb="FF0B5FFF"/>
        <bgColor rgb="FF3366FF"/>
      </patternFill>
    </fill>
    <fill>
      <patternFill patternType="solid">
        <fgColor rgb="FFEAF0FF"/>
        <bgColor rgb="FFF4F8FF"/>
      </patternFill>
    </fill>
    <fill>
      <patternFill patternType="solid">
        <fgColor rgb="FFF4F8FF"/>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6" fillId="2" borderId="0" xfId="0" applyFont="true" applyBorder="true" applyAlignment="true" applyProtection="false">
      <alignment horizontal="left" vertical="center"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general" vertical="bottom" textRotation="0" wrapText="false" indent="0" shrinkToFit="false"/>
      <protection locked="true" hidden="false"/>
    </xf>
    <xf numFmtId="165" fontId="9" fillId="0" borderId="1" xfId="0" applyFont="true" applyBorder="true" applyAlignment="true" applyProtection="false">
      <alignment horizontal="general" vertical="bottom" textRotation="0" wrapText="false" indent="0" shrinkToFit="false"/>
      <protection locked="true" hidden="false"/>
    </xf>
    <xf numFmtId="165" fontId="8" fillId="0" borderId="1" xfId="0" applyFont="true" applyBorder="true" applyAlignment="true" applyProtection="false">
      <alignment horizontal="general" vertical="bottom" textRotation="0" wrapText="false" indent="0" shrinkToFit="false"/>
      <protection locked="true" hidden="false"/>
    </xf>
    <xf numFmtId="166" fontId="9" fillId="0" borderId="1" xfId="0" applyFont="true" applyBorder="true" applyAlignment="true" applyProtection="false">
      <alignment horizontal="general" vertical="bottom" textRotation="0" wrapText="false" indent="0" shrinkToFit="false"/>
      <protection locked="true" hidden="false"/>
    </xf>
    <xf numFmtId="164" fontId="7" fillId="4" borderId="0" xfId="0" applyFont="true" applyBorder="true" applyAlignment="true" applyProtection="false">
      <alignment horizontal="right" vertical="bottom" textRotation="0" wrapText="false" indent="0" shrinkToFit="false"/>
      <protection locked="true" hidden="false"/>
    </xf>
    <xf numFmtId="165" fontId="7" fillId="4" borderId="1" xfId="0" applyFont="true" applyBorder="true" applyAlignment="true" applyProtection="false">
      <alignment horizontal="general" vertical="bottom" textRotation="0" wrapText="false" indent="0" shrinkToFit="false"/>
      <protection locked="true" hidden="false"/>
    </xf>
    <xf numFmtId="166" fontId="7" fillId="4" borderId="1" xfId="0" applyFont="true" applyBorder="tru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3" fillId="0" borderId="1" xfId="0" applyFont="true" applyBorder="true" applyAlignment="tru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general" vertical="bottom" textRotation="0" wrapText="false" indent="0" shrinkToFit="false"/>
      <protection locked="true" hidden="false"/>
    </xf>
    <xf numFmtId="164" fontId="13" fillId="5" borderId="1" xfId="0" applyFont="true" applyBorder="true" applyAlignment="true" applyProtection="false">
      <alignment horizontal="general" vertical="center" textRotation="0" wrapText="false" indent="0" shrinkToFit="false"/>
      <protection locked="true" hidden="false"/>
    </xf>
    <xf numFmtId="164" fontId="15" fillId="5" borderId="1" xfId="0" applyFont="true" applyBorder="true" applyAlignment="true" applyProtection="false">
      <alignment horizontal="general" vertical="center" textRotation="0" wrapText="false" indent="0" shrinkToFit="false"/>
      <protection locked="true" hidden="false"/>
    </xf>
    <xf numFmtId="167" fontId="13" fillId="5" borderId="1" xfId="0" applyFont="true" applyBorder="true" applyAlignment="true" applyProtection="false">
      <alignment horizontal="general" vertical="center" textRotation="0" wrapText="false" indent="0" shrinkToFit="false"/>
      <protection locked="true" hidden="false"/>
    </xf>
    <xf numFmtId="164" fontId="13" fillId="5" borderId="1" xfId="0" applyFont="true" applyBorder="true" applyAlignment="true" applyProtection="false">
      <alignment horizontal="general" vertical="center" textRotation="0" wrapText="true" indent="0" shrinkToFit="false"/>
      <protection locked="true" hidden="false"/>
    </xf>
    <xf numFmtId="164" fontId="13" fillId="0" borderId="1" xfId="0" applyFont="true" applyBorder="true" applyAlignment="true" applyProtection="false">
      <alignment horizontal="general" vertical="center" textRotation="0" wrapText="false" indent="0" shrinkToFit="false"/>
      <protection locked="true" hidden="false"/>
    </xf>
    <xf numFmtId="164" fontId="15" fillId="0" borderId="1" xfId="0" applyFont="true" applyBorder="true" applyAlignment="true" applyProtection="false">
      <alignment horizontal="general" vertical="center" textRotation="0" wrapText="false" indent="0" shrinkToFit="false"/>
      <protection locked="true" hidden="false"/>
    </xf>
    <xf numFmtId="167" fontId="13" fillId="0" borderId="1" xfId="0" applyFont="true" applyBorder="true" applyAlignment="true" applyProtection="false">
      <alignment horizontal="general" vertical="center" textRotation="0" wrapText="false" indent="0" shrinkToFit="false"/>
      <protection locked="true" hidden="false"/>
    </xf>
    <xf numFmtId="164" fontId="13" fillId="0" borderId="1" xfId="0" applyFont="true" applyBorder="true" applyAlignment="true" applyProtection="false">
      <alignment horizontal="general" vertical="center" textRotation="0" wrapText="true" indent="0" shrinkToFit="false"/>
      <protection locked="true" hidden="false"/>
    </xf>
    <xf numFmtId="164" fontId="14" fillId="0" borderId="0"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general" vertical="bottom" textRotation="0" wrapText="false" indent="0" shrinkToFit="false"/>
      <protection locked="true" hidden="false"/>
    </xf>
    <xf numFmtId="165" fontId="16"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general" vertical="top" textRotation="0" wrapText="true" indent="0" shrinkToFit="false"/>
      <protection locked="true" hidden="false"/>
    </xf>
    <xf numFmtId="165" fontId="16" fillId="0" borderId="1" xfId="0" applyFont="true" applyBorder="true" applyAlignment="true" applyProtection="false">
      <alignment horizontal="general" vertical="bottom" textRotation="0" wrapText="false" indent="0" shrinkToFit="false"/>
      <protection locked="true" hidden="false"/>
    </xf>
    <xf numFmtId="164" fontId="13" fillId="4" borderId="1" xfId="0" applyFont="true" applyBorder="true" applyAlignment="tru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4F8FF"/>
      <rgbColor rgb="FFEAF0FF"/>
      <rgbColor rgb="FF660066"/>
      <rgbColor rgb="FFFF8080"/>
      <rgbColor rgb="FF0B5FFF"/>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003366"/>
      <rgbColor rgb="FF1E7A1E"/>
      <rgbColor rgb="FF0A1628"/>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2"/>
    <col collapsed="false" customWidth="true" hidden="false" outlineLevel="0" max="3" min="3" style="1" width="18"/>
    <col collapsed="false" customWidth="true" hidden="false" outlineLevel="0" max="4" min="4" style="1" width="40"/>
    <col collapsed="false" customWidth="true" hidden="false" outlineLevel="0" max="5" min="5" style="1" width="15"/>
    <col collapsed="false" customWidth="true" hidden="false" outlineLevel="0" max="6" min="6" style="1" width="17"/>
    <col collapsed="false" customWidth="true" hidden="false" outlineLevel="0" max="9" min="7" style="1" width="18"/>
    <col collapsed="false" customWidth="true" hidden="false" outlineLevel="0" max="10" min="10" style="1" width="20"/>
    <col collapsed="false" customWidth="true" hidden="false" outlineLevel="0" max="11" min="11" style="1" width="18"/>
    <col collapsed="false" customWidth="true" hidden="false" outlineLevel="0" max="12" min="12" style="1" width="16"/>
  </cols>
  <sheetData>
    <row r="1" customFormat="false" ht="17.25" hidden="false" customHeight="true" outlineLevel="0" collapsed="false">
      <c r="A1" s="2" t="s">
        <v>0</v>
      </c>
      <c r="B1" s="2"/>
      <c r="C1" s="2"/>
      <c r="D1" s="2"/>
      <c r="E1" s="2"/>
      <c r="F1" s="2"/>
      <c r="G1" s="2"/>
      <c r="H1" s="2"/>
      <c r="I1" s="2"/>
      <c r="J1" s="2"/>
      <c r="K1" s="2"/>
      <c r="L1" s="2"/>
    </row>
    <row r="2" customFormat="false" ht="15" hidden="false" customHeight="true" outlineLevel="0" collapsed="false">
      <c r="A2" s="3" t="s">
        <v>1</v>
      </c>
      <c r="B2" s="3"/>
      <c r="C2" s="3"/>
      <c r="D2" s="3"/>
      <c r="E2" s="3"/>
      <c r="F2" s="3"/>
      <c r="G2" s="3"/>
      <c r="H2" s="3"/>
      <c r="I2" s="3"/>
      <c r="J2" s="3"/>
      <c r="K2" s="3"/>
      <c r="L2" s="3"/>
    </row>
    <row r="4" customFormat="false" ht="15" hidden="false" customHeight="true" outlineLevel="0" collapsed="false">
      <c r="A4" s="4" t="s">
        <v>2</v>
      </c>
      <c r="B4" s="4"/>
      <c r="C4" s="4"/>
    </row>
    <row r="5" customFormat="false" ht="15" hidden="false" customHeight="true" outlineLevel="0" collapsed="false">
      <c r="A5" s="5" t="s">
        <v>3</v>
      </c>
      <c r="B5" s="6" t="s">
        <v>4</v>
      </c>
    </row>
    <row r="6" customFormat="false" ht="15" hidden="false" customHeight="true" outlineLevel="0" collapsed="false">
      <c r="A6" s="5" t="s">
        <v>5</v>
      </c>
      <c r="B6" s="6" t="s">
        <v>6</v>
      </c>
    </row>
    <row r="7" customFormat="false" ht="15" hidden="false" customHeight="true" outlineLevel="0" collapsed="false">
      <c r="A7" s="5" t="s">
        <v>7</v>
      </c>
      <c r="B7" s="6" t="s">
        <v>8</v>
      </c>
    </row>
    <row r="8" customFormat="false" ht="15" hidden="false" customHeight="true" outlineLevel="0" collapsed="false">
      <c r="A8" s="5" t="s">
        <v>9</v>
      </c>
      <c r="B8" s="6" t="s">
        <v>10</v>
      </c>
    </row>
    <row r="9" customFormat="false" ht="15" hidden="false" customHeight="true" outlineLevel="0" collapsed="false">
      <c r="A9" s="5" t="s">
        <v>11</v>
      </c>
      <c r="B9" s="7" t="n">
        <v>58000</v>
      </c>
    </row>
    <row r="10" customFormat="false" ht="15" hidden="false" customHeight="true" outlineLevel="0" collapsed="false">
      <c r="A10" s="5" t="s">
        <v>12</v>
      </c>
      <c r="B10" s="8" t="n">
        <f aca="false">ROUND(B9/1.16,2)</f>
        <v>50000</v>
      </c>
    </row>
    <row r="11" customFormat="false" ht="15" hidden="false" customHeight="true" outlineLevel="0" collapsed="false">
      <c r="A11" s="5" t="s">
        <v>13</v>
      </c>
      <c r="B11" s="8" t="n">
        <f aca="false">B9-B10</f>
        <v>8000</v>
      </c>
    </row>
    <row r="13" customFormat="false" ht="15" hidden="false" customHeight="true" outlineLevel="0" collapsed="false">
      <c r="A13" s="4" t="s">
        <v>14</v>
      </c>
      <c r="B13" s="4"/>
      <c r="C13" s="4"/>
      <c r="D13" s="4"/>
      <c r="E13" s="4"/>
      <c r="F13" s="4"/>
      <c r="G13" s="4"/>
      <c r="H13" s="4"/>
      <c r="I13" s="4"/>
      <c r="J13" s="4"/>
      <c r="K13" s="4"/>
      <c r="L13" s="4"/>
    </row>
    <row r="14" customFormat="false" ht="23.25" hidden="false" customHeight="true" outlineLevel="0" collapsed="false">
      <c r="A14" s="9" t="s">
        <v>15</v>
      </c>
      <c r="B14" s="9" t="s">
        <v>16</v>
      </c>
      <c r="C14" s="9" t="s">
        <v>17</v>
      </c>
      <c r="D14" s="9" t="s">
        <v>18</v>
      </c>
      <c r="E14" s="9" t="s">
        <v>19</v>
      </c>
      <c r="F14" s="9" t="s">
        <v>20</v>
      </c>
      <c r="G14" s="9" t="s">
        <v>21</v>
      </c>
      <c r="H14" s="9" t="s">
        <v>22</v>
      </c>
      <c r="I14" s="9" t="s">
        <v>23</v>
      </c>
      <c r="J14" s="9" t="s">
        <v>24</v>
      </c>
      <c r="K14" s="9" t="s">
        <v>25</v>
      </c>
      <c r="L14" s="9" t="s">
        <v>26</v>
      </c>
    </row>
    <row r="15" customFormat="false" ht="15" hidden="false" customHeight="true" outlineLevel="0" collapsed="false">
      <c r="A15" s="10" t="n">
        <v>1</v>
      </c>
      <c r="B15" s="10" t="s">
        <v>27</v>
      </c>
      <c r="C15" s="11" t="s">
        <v>28</v>
      </c>
      <c r="D15" s="12" t="s">
        <v>29</v>
      </c>
      <c r="E15" s="11" t="s">
        <v>30</v>
      </c>
      <c r="F15" s="11" t="s">
        <v>31</v>
      </c>
      <c r="G15" s="13" t="n">
        <f aca="false">B9</f>
        <v>58000</v>
      </c>
      <c r="H15" s="14" t="n">
        <v>30000</v>
      </c>
      <c r="I15" s="13" t="n">
        <f aca="false">G15-H15</f>
        <v>28000</v>
      </c>
      <c r="J15" s="13" t="n">
        <f aca="false">ROUND(H15/1.16,2)</f>
        <v>25862.07</v>
      </c>
      <c r="K15" s="13" t="n">
        <f aca="false">H15-J15</f>
        <v>4137.93</v>
      </c>
      <c r="L15" s="15" t="n">
        <f aca="false">SUM($H$15:H15)/$B$9</f>
        <v>0.517241379310345</v>
      </c>
    </row>
    <row r="16" customFormat="false" ht="15" hidden="false" customHeight="true" outlineLevel="0" collapsed="false">
      <c r="A16" s="10" t="n">
        <v>2</v>
      </c>
      <c r="B16" s="10" t="s">
        <v>27</v>
      </c>
      <c r="C16" s="11" t="s">
        <v>32</v>
      </c>
      <c r="D16" s="12" t="s">
        <v>33</v>
      </c>
      <c r="E16" s="11" t="s">
        <v>34</v>
      </c>
      <c r="F16" s="11" t="s">
        <v>31</v>
      </c>
      <c r="G16" s="13" t="n">
        <f aca="false">I15</f>
        <v>28000</v>
      </c>
      <c r="H16" s="14" t="n">
        <v>28000</v>
      </c>
      <c r="I16" s="13" t="n">
        <f aca="false">G16-H16</f>
        <v>0</v>
      </c>
      <c r="J16" s="13" t="n">
        <f aca="false">ROUND(H16/1.16,2)</f>
        <v>24137.93</v>
      </c>
      <c r="K16" s="13" t="n">
        <f aca="false">H16-J16</f>
        <v>3862.07</v>
      </c>
      <c r="L16" s="15" t="n">
        <f aca="false">SUM($H$15:H16)/$B$9</f>
        <v>1</v>
      </c>
    </row>
    <row r="17" customFormat="false" ht="15" hidden="false" customHeight="true" outlineLevel="0" collapsed="false">
      <c r="A17" s="16" t="s">
        <v>35</v>
      </c>
      <c r="B17" s="16"/>
      <c r="C17" s="16"/>
      <c r="D17" s="16"/>
      <c r="E17" s="16"/>
      <c r="F17" s="16"/>
      <c r="G17" s="16"/>
      <c r="H17" s="17" t="n">
        <f aca="false">SUM(H15:H16)</f>
        <v>58000</v>
      </c>
      <c r="I17" s="17" t="n">
        <f aca="false">I16</f>
        <v>0</v>
      </c>
      <c r="J17" s="17" t="n">
        <f aca="false">SUM(J15:J16)</f>
        <v>50000</v>
      </c>
      <c r="K17" s="17" t="n">
        <f aca="false">SUM(K15:K16)</f>
        <v>8000</v>
      </c>
      <c r="L17" s="18" t="n">
        <f aca="false">H17/$B$9</f>
        <v>1</v>
      </c>
    </row>
    <row r="19" customFormat="false" ht="15" hidden="false" customHeight="true" outlineLevel="0" collapsed="false">
      <c r="A19" s="4" t="s">
        <v>36</v>
      </c>
      <c r="B19" s="4"/>
      <c r="C19" s="4"/>
    </row>
    <row r="20" customFormat="false" ht="15" hidden="false" customHeight="true" outlineLevel="0" collapsed="false">
      <c r="A20" s="19" t="s">
        <v>37</v>
      </c>
      <c r="B20" s="19"/>
      <c r="C20" s="20" t="str">
        <f aca="false">IF(H17=B9,"✔ CUADRA","✘ REVISAR")</f>
        <v>✔ CUADRA</v>
      </c>
    </row>
    <row r="21" customFormat="false" ht="15" hidden="false" customHeight="true" outlineLevel="0" collapsed="false">
      <c r="A21" s="19" t="s">
        <v>38</v>
      </c>
      <c r="B21" s="19"/>
      <c r="C21" s="20" t="str">
        <f aca="false">IF(I16=0,"✔ LIQUIDADA","✘ PENDIENTE")</f>
        <v>✔ LIQUIDADA</v>
      </c>
    </row>
    <row r="22" customFormat="false" ht="15" hidden="false" customHeight="true" outlineLevel="0" collapsed="false">
      <c r="A22" s="19" t="s">
        <v>39</v>
      </c>
      <c r="B22" s="19"/>
      <c r="C22" s="20" t="str">
        <f aca="false">IF(K17=B11,"✔ CUADRA","✘ REVISAR")</f>
        <v>✔ CUADRA</v>
      </c>
    </row>
    <row r="24" customFormat="false" ht="15" hidden="false" customHeight="true" outlineLevel="0" collapsed="false">
      <c r="A24" s="4" t="s">
        <v>40</v>
      </c>
      <c r="B24" s="4"/>
      <c r="C24" s="4"/>
    </row>
    <row r="25" customFormat="false" ht="23.25" hidden="false" customHeight="true" outlineLevel="0" collapsed="false">
      <c r="A25" s="9" t="s">
        <v>41</v>
      </c>
      <c r="B25" s="9" t="s">
        <v>42</v>
      </c>
      <c r="C25" s="9" t="s">
        <v>43</v>
      </c>
    </row>
    <row r="26" customFormat="false" ht="15" hidden="false" customHeight="true" outlineLevel="0" collapsed="false">
      <c r="A26" s="21" t="s">
        <v>44</v>
      </c>
      <c r="B26" s="22" t="s">
        <v>28</v>
      </c>
      <c r="C26" s="13" t="n">
        <f aca="false">K15</f>
        <v>4137.93</v>
      </c>
    </row>
    <row r="27" customFormat="false" ht="15" hidden="false" customHeight="true" outlineLevel="0" collapsed="false">
      <c r="A27" s="21" t="s">
        <v>45</v>
      </c>
      <c r="B27" s="22" t="s">
        <v>32</v>
      </c>
      <c r="C27" s="13" t="n">
        <f aca="false">K16</f>
        <v>3862.07</v>
      </c>
    </row>
    <row r="28" customFormat="false" ht="15" hidden="false" customHeight="true" outlineLevel="0" collapsed="false">
      <c r="A28" s="23" t="s">
        <v>46</v>
      </c>
      <c r="B28" s="23"/>
      <c r="C28" s="17" t="n">
        <f aca="false">SUM(C26:C27)</f>
        <v>8000</v>
      </c>
    </row>
    <row r="30" customFormat="false" ht="15" hidden="false" customHeight="true" outlineLevel="0" collapsed="false">
      <c r="A30" s="24" t="s">
        <v>47</v>
      </c>
      <c r="B30" s="24"/>
      <c r="C30" s="24"/>
      <c r="D30" s="24"/>
      <c r="E30" s="24"/>
      <c r="F30" s="24"/>
      <c r="G30" s="24"/>
      <c r="H30" s="24"/>
      <c r="I30" s="24"/>
      <c r="J30" s="24"/>
      <c r="K30" s="24"/>
      <c r="L30" s="24"/>
    </row>
  </sheetData>
  <mergeCells count="11">
    <mergeCell ref="A1:L1"/>
    <mergeCell ref="A2:L2"/>
    <mergeCell ref="A4:C4"/>
    <mergeCell ref="A13:L13"/>
    <mergeCell ref="A17:G17"/>
    <mergeCell ref="A19:C19"/>
    <mergeCell ref="A20:B20"/>
    <mergeCell ref="A21:B21"/>
    <mergeCell ref="A22:B22"/>
    <mergeCell ref="A24:C24"/>
    <mergeCell ref="A30:L3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20"/>
    <col collapsed="false" customWidth="true" hidden="false" outlineLevel="0" max="3" min="3" style="1" width="14"/>
    <col collapsed="false" customWidth="true" hidden="false" outlineLevel="0" max="4" min="4" style="1" width="40"/>
    <col collapsed="false" customWidth="true" hidden="false" outlineLevel="0" max="5" min="5" style="1" width="13"/>
    <col collapsed="false" customWidth="true" hidden="false" outlineLevel="0" max="6" min="6" style="1" width="14"/>
    <col collapsed="false" customWidth="true" hidden="false" outlineLevel="0" max="7" min="7" style="1" width="52"/>
  </cols>
  <sheetData>
    <row r="1" customFormat="false" ht="17.25" hidden="false" customHeight="true" outlineLevel="0" collapsed="false">
      <c r="A1" s="2" t="s">
        <v>48</v>
      </c>
      <c r="B1" s="2"/>
      <c r="C1" s="2"/>
      <c r="D1" s="2"/>
      <c r="E1" s="2"/>
      <c r="F1" s="2"/>
      <c r="G1" s="2"/>
    </row>
    <row r="3" customFormat="false" ht="15" hidden="false" customHeight="true" outlineLevel="0" collapsed="false">
      <c r="A3" s="9" t="s">
        <v>49</v>
      </c>
      <c r="B3" s="9" t="s">
        <v>50</v>
      </c>
      <c r="C3" s="9" t="s">
        <v>51</v>
      </c>
      <c r="D3" s="9" t="s">
        <v>52</v>
      </c>
      <c r="E3" s="9" t="s">
        <v>53</v>
      </c>
      <c r="F3" s="9" t="s">
        <v>54</v>
      </c>
      <c r="G3" s="9" t="s">
        <v>55</v>
      </c>
    </row>
    <row r="4" customFormat="false" ht="15" hidden="false" customHeight="true" outlineLevel="0" collapsed="false">
      <c r="A4" s="25" t="s">
        <v>56</v>
      </c>
      <c r="B4" s="25" t="s">
        <v>57</v>
      </c>
      <c r="C4" s="25" t="s">
        <v>6</v>
      </c>
      <c r="D4" s="26" t="s">
        <v>4</v>
      </c>
      <c r="E4" s="25" t="s">
        <v>8</v>
      </c>
      <c r="F4" s="27" t="n">
        <v>58000</v>
      </c>
      <c r="G4" s="28" t="s">
        <v>58</v>
      </c>
    </row>
    <row r="5" customFormat="false" ht="15" hidden="false" customHeight="true" outlineLevel="0" collapsed="false">
      <c r="A5" s="25" t="s">
        <v>59</v>
      </c>
      <c r="B5" s="25" t="s">
        <v>60</v>
      </c>
      <c r="C5" s="25" t="s">
        <v>28</v>
      </c>
      <c r="D5" s="26" t="s">
        <v>29</v>
      </c>
      <c r="E5" s="25" t="s">
        <v>30</v>
      </c>
      <c r="F5" s="27" t="n">
        <v>0</v>
      </c>
      <c r="G5" s="28" t="s">
        <v>61</v>
      </c>
    </row>
    <row r="6" customFormat="false" ht="15" hidden="false" customHeight="true" outlineLevel="0" collapsed="false">
      <c r="A6" s="25" t="s">
        <v>62</v>
      </c>
      <c r="B6" s="25" t="s">
        <v>60</v>
      </c>
      <c r="C6" s="25" t="s">
        <v>32</v>
      </c>
      <c r="D6" s="26" t="s">
        <v>33</v>
      </c>
      <c r="E6" s="25" t="s">
        <v>34</v>
      </c>
      <c r="F6" s="27" t="n">
        <v>0</v>
      </c>
      <c r="G6" s="28" t="s">
        <v>63</v>
      </c>
    </row>
    <row r="7" customFormat="false" ht="23.85" hidden="false" customHeight="false" outlineLevel="0" collapsed="false">
      <c r="A7" s="29" t="s">
        <v>64</v>
      </c>
      <c r="B7" s="29" t="s">
        <v>65</v>
      </c>
      <c r="C7" s="29" t="s">
        <v>66</v>
      </c>
      <c r="D7" s="30" t="s">
        <v>67</v>
      </c>
      <c r="E7" s="29" t="s">
        <v>68</v>
      </c>
      <c r="F7" s="31" t="n">
        <v>11600</v>
      </c>
      <c r="G7" s="32" t="s">
        <v>69</v>
      </c>
    </row>
    <row r="9" customFormat="false" ht="15" hidden="false" customHeight="false" outlineLevel="0" collapsed="false">
      <c r="A9" s="33" t="s">
        <v>70</v>
      </c>
      <c r="B9" s="33"/>
      <c r="C9" s="33"/>
      <c r="D9" s="33"/>
      <c r="E9" s="33"/>
      <c r="F9" s="33"/>
      <c r="G9" s="33"/>
    </row>
  </sheetData>
  <mergeCells count="2">
    <mergeCell ref="A1:G1"/>
    <mergeCell ref="A9:G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34"/>
    <col collapsed="false" customWidth="true" hidden="false" outlineLevel="0" max="3" min="3" style="1" width="24"/>
    <col collapsed="false" customWidth="true" hidden="false" outlineLevel="0" max="5" min="4" style="1" width="22"/>
    <col collapsed="false" customWidth="true" hidden="false" outlineLevel="0" max="6" min="6" style="1" width="18"/>
  </cols>
  <sheetData>
    <row r="1" customFormat="false" ht="17.25" hidden="false" customHeight="true" outlineLevel="0" collapsed="false">
      <c r="A1" s="2" t="s">
        <v>71</v>
      </c>
      <c r="B1" s="2"/>
      <c r="C1" s="2"/>
      <c r="D1" s="2"/>
      <c r="E1" s="2"/>
      <c r="F1" s="2"/>
    </row>
    <row r="2" customFormat="false" ht="15" hidden="false" customHeight="true" outlineLevel="0" collapsed="false">
      <c r="A2" s="3" t="s">
        <v>72</v>
      </c>
      <c r="B2" s="3"/>
      <c r="C2" s="3"/>
      <c r="D2" s="3"/>
      <c r="E2" s="3"/>
      <c r="F2" s="3"/>
    </row>
    <row r="4" customFormat="false" ht="15" hidden="false" customHeight="true" outlineLevel="0" collapsed="false">
      <c r="A4" s="4" t="s">
        <v>73</v>
      </c>
      <c r="B4" s="4"/>
      <c r="C4" s="4"/>
      <c r="D4" s="4"/>
      <c r="E4" s="4"/>
      <c r="F4" s="4"/>
    </row>
    <row r="5" customFormat="false" ht="15" hidden="false" customHeight="true" outlineLevel="0" collapsed="false">
      <c r="A5" s="5" t="s">
        <v>74</v>
      </c>
      <c r="B5" s="34" t="s">
        <v>75</v>
      </c>
      <c r="C5" s="34"/>
      <c r="D5" s="34"/>
      <c r="E5" s="34"/>
      <c r="F5" s="34"/>
    </row>
    <row r="6" customFormat="false" ht="15" hidden="false" customHeight="true" outlineLevel="0" collapsed="false">
      <c r="A6" s="5" t="s">
        <v>76</v>
      </c>
      <c r="B6" s="34" t="s">
        <v>77</v>
      </c>
      <c r="C6" s="34"/>
      <c r="D6" s="34"/>
      <c r="E6" s="34"/>
      <c r="F6" s="34"/>
    </row>
    <row r="7" customFormat="false" ht="15" hidden="false" customHeight="true" outlineLevel="0" collapsed="false">
      <c r="A7" s="5" t="s">
        <v>78</v>
      </c>
      <c r="B7" s="34" t="s">
        <v>79</v>
      </c>
      <c r="C7" s="34"/>
      <c r="D7" s="34"/>
      <c r="E7" s="34"/>
      <c r="F7" s="34"/>
    </row>
    <row r="8" customFormat="false" ht="15" hidden="false" customHeight="true" outlineLevel="0" collapsed="false">
      <c r="A8" s="5" t="s">
        <v>80</v>
      </c>
      <c r="B8" s="35" t="n">
        <f aca="false">'Análisis de Pagos'!B9</f>
        <v>58000</v>
      </c>
    </row>
    <row r="9" customFormat="false" ht="15" hidden="false" customHeight="true" outlineLevel="0" collapsed="false">
      <c r="A9" s="5" t="s">
        <v>81</v>
      </c>
      <c r="B9" s="35" t="n">
        <f aca="false">'Análisis de Pagos'!B10</f>
        <v>50000</v>
      </c>
    </row>
    <row r="10" customFormat="false" ht="15" hidden="false" customHeight="true" outlineLevel="0" collapsed="false">
      <c r="A10" s="5" t="s">
        <v>82</v>
      </c>
      <c r="B10" s="35" t="n">
        <f aca="false">'Análisis de Pagos'!B11</f>
        <v>8000</v>
      </c>
    </row>
    <row r="12" customFormat="false" ht="15" hidden="false" customHeight="true" outlineLevel="0" collapsed="false">
      <c r="A12" s="4" t="s">
        <v>83</v>
      </c>
      <c r="B12" s="4"/>
      <c r="C12" s="4"/>
      <c r="D12" s="4"/>
      <c r="E12" s="4"/>
      <c r="F12" s="4"/>
    </row>
    <row r="13" customFormat="false" ht="15" hidden="false" customHeight="true" outlineLevel="0" collapsed="false">
      <c r="A13" s="36" t="s">
        <v>84</v>
      </c>
      <c r="B13" s="36"/>
      <c r="C13" s="36"/>
      <c r="D13" s="36"/>
      <c r="E13" s="36"/>
      <c r="F13" s="36"/>
    </row>
    <row r="14" customFormat="false" ht="15" hidden="false" customHeight="true" outlineLevel="0" collapsed="false">
      <c r="A14" s="36"/>
      <c r="B14" s="36"/>
      <c r="C14" s="36"/>
      <c r="D14" s="36"/>
      <c r="E14" s="36"/>
      <c r="F14" s="36"/>
    </row>
    <row r="15" customFormat="false" ht="15" hidden="false" customHeight="true" outlineLevel="0" collapsed="false">
      <c r="A15" s="36"/>
      <c r="B15" s="36"/>
      <c r="C15" s="36"/>
      <c r="D15" s="36"/>
      <c r="E15" s="36"/>
      <c r="F15" s="36"/>
    </row>
    <row r="17" customFormat="false" ht="15" hidden="false" customHeight="true" outlineLevel="0" collapsed="false">
      <c r="A17" s="4" t="s">
        <v>85</v>
      </c>
      <c r="B17" s="4"/>
      <c r="C17" s="4"/>
      <c r="D17" s="4"/>
      <c r="E17" s="4"/>
      <c r="F17" s="4"/>
    </row>
    <row r="18" customFormat="false" ht="23.25" hidden="false" customHeight="true" outlineLevel="0" collapsed="false">
      <c r="A18" s="9" t="s">
        <v>41</v>
      </c>
      <c r="B18" s="9" t="s">
        <v>86</v>
      </c>
      <c r="C18" s="9" t="s">
        <v>19</v>
      </c>
      <c r="D18" s="9" t="s">
        <v>87</v>
      </c>
      <c r="E18" s="9" t="s">
        <v>81</v>
      </c>
      <c r="F18" s="9" t="s">
        <v>88</v>
      </c>
    </row>
    <row r="19" customFormat="false" ht="15" hidden="false" customHeight="true" outlineLevel="0" collapsed="false">
      <c r="A19" s="21" t="s">
        <v>89</v>
      </c>
      <c r="B19" s="21" t="s">
        <v>90</v>
      </c>
      <c r="C19" s="21" t="s">
        <v>8</v>
      </c>
      <c r="D19" s="13" t="n">
        <v>0</v>
      </c>
      <c r="E19" s="13" t="n">
        <v>0</v>
      </c>
      <c r="F19" s="13" t="n">
        <v>0</v>
      </c>
    </row>
    <row r="20" customFormat="false" ht="15" hidden="false" customHeight="true" outlineLevel="0" collapsed="false">
      <c r="A20" s="21" t="s">
        <v>44</v>
      </c>
      <c r="B20" s="21" t="s">
        <v>28</v>
      </c>
      <c r="C20" s="21" t="s">
        <v>30</v>
      </c>
      <c r="D20" s="37" t="n">
        <f aca="false">'Análisis de Pagos'!H15</f>
        <v>30000</v>
      </c>
      <c r="E20" s="37" t="n">
        <f aca="false">'Análisis de Pagos'!J15</f>
        <v>25862.07</v>
      </c>
      <c r="F20" s="37" t="n">
        <f aca="false">'Análisis de Pagos'!K15</f>
        <v>4137.93</v>
      </c>
    </row>
    <row r="21" customFormat="false" ht="15" hidden="false" customHeight="true" outlineLevel="0" collapsed="false">
      <c r="A21" s="21" t="s">
        <v>45</v>
      </c>
      <c r="B21" s="21" t="s">
        <v>32</v>
      </c>
      <c r="C21" s="21" t="s">
        <v>34</v>
      </c>
      <c r="D21" s="37" t="n">
        <f aca="false">'Análisis de Pagos'!H16</f>
        <v>28000</v>
      </c>
      <c r="E21" s="37" t="n">
        <f aca="false">'Análisis de Pagos'!J16</f>
        <v>24137.93</v>
      </c>
      <c r="F21" s="37" t="n">
        <f aca="false">'Análisis de Pagos'!K16</f>
        <v>3862.07</v>
      </c>
    </row>
    <row r="22" customFormat="false" ht="15" hidden="false" customHeight="true" outlineLevel="0" collapsed="false">
      <c r="A22" s="23" t="s">
        <v>46</v>
      </c>
      <c r="B22" s="38"/>
      <c r="C22" s="38"/>
      <c r="D22" s="17" t="n">
        <f aca="false">SUM(D19:D21)</f>
        <v>58000</v>
      </c>
      <c r="E22" s="17" t="n">
        <f aca="false">SUM(E19:E21)</f>
        <v>50000</v>
      </c>
      <c r="F22" s="17" t="n">
        <f aca="false">SUM(F19:F21)</f>
        <v>8000</v>
      </c>
    </row>
    <row r="24" customFormat="false" ht="15" hidden="false" customHeight="true" outlineLevel="0" collapsed="false">
      <c r="A24" s="4" t="s">
        <v>91</v>
      </c>
      <c r="B24" s="4"/>
      <c r="C24" s="4"/>
    </row>
    <row r="25" customFormat="false" ht="23.25" hidden="false" customHeight="true" outlineLevel="0" collapsed="false">
      <c r="A25" s="9" t="s">
        <v>41</v>
      </c>
      <c r="B25" s="9" t="s">
        <v>92</v>
      </c>
      <c r="C25" s="9" t="s">
        <v>93</v>
      </c>
    </row>
    <row r="26" customFormat="false" ht="15" hidden="false" customHeight="true" outlineLevel="0" collapsed="false">
      <c r="A26" s="21" t="s">
        <v>44</v>
      </c>
      <c r="B26" s="13" t="n">
        <f aca="false">F20</f>
        <v>4137.93</v>
      </c>
      <c r="C26" s="13" t="n">
        <f aca="false">F20</f>
        <v>4137.93</v>
      </c>
    </row>
    <row r="27" customFormat="false" ht="15" hidden="false" customHeight="true" outlineLevel="0" collapsed="false">
      <c r="A27" s="21" t="s">
        <v>45</v>
      </c>
      <c r="B27" s="13" t="n">
        <f aca="false">F21</f>
        <v>3862.07</v>
      </c>
      <c r="C27" s="13" t="n">
        <f aca="false">F21</f>
        <v>3862.07</v>
      </c>
    </row>
    <row r="28" customFormat="false" ht="15" hidden="false" customHeight="true" outlineLevel="0" collapsed="false">
      <c r="A28" s="23" t="s">
        <v>46</v>
      </c>
      <c r="B28" s="17" t="n">
        <f aca="false">SUM(B26:B27)</f>
        <v>8000</v>
      </c>
      <c r="C28" s="17" t="n">
        <f aca="false">SUM(C26:C27)</f>
        <v>8000</v>
      </c>
    </row>
    <row r="29" customFormat="false" ht="15" hidden="false" customHeight="true" outlineLevel="0" collapsed="false">
      <c r="A29" s="24" t="s">
        <v>94</v>
      </c>
      <c r="B29" s="24"/>
      <c r="C29" s="24"/>
      <c r="D29" s="24"/>
      <c r="E29" s="24"/>
      <c r="F29" s="24"/>
    </row>
    <row r="31" customFormat="false" ht="15" hidden="false" customHeight="true" outlineLevel="0" collapsed="false">
      <c r="A31" s="4" t="s">
        <v>95</v>
      </c>
      <c r="B31" s="4"/>
      <c r="C31" s="4"/>
    </row>
    <row r="32" customFormat="false" ht="15" hidden="false" customHeight="true" outlineLevel="0" collapsed="false">
      <c r="A32" s="5" t="s">
        <v>96</v>
      </c>
      <c r="B32" s="8" t="n">
        <f aca="false">F22</f>
        <v>8000</v>
      </c>
    </row>
    <row r="33" customFormat="false" ht="15" hidden="false" customHeight="true" outlineLevel="0" collapsed="false">
      <c r="A33" s="5" t="s">
        <v>97</v>
      </c>
      <c r="B33" s="8" t="n">
        <f aca="false">B10</f>
        <v>8000</v>
      </c>
    </row>
    <row r="34" customFormat="false" ht="15" hidden="false" customHeight="true" outlineLevel="0" collapsed="false">
      <c r="A34" s="5" t="s">
        <v>98</v>
      </c>
      <c r="B34" s="20" t="str">
        <f aca="false">IF(F22=B10,"✔ CUADRA","✘ REVISAR")</f>
        <v>✔ CUADRA</v>
      </c>
    </row>
    <row r="36" customFormat="false" ht="15" hidden="false" customHeight="true" outlineLevel="0" collapsed="false">
      <c r="A36" s="39" t="s">
        <v>99</v>
      </c>
      <c r="B36" s="39"/>
      <c r="C36" s="39"/>
      <c r="D36" s="39"/>
      <c r="E36" s="39"/>
      <c r="F36" s="39"/>
    </row>
    <row r="37" customFormat="false" ht="15" hidden="false" customHeight="true" outlineLevel="0" collapsed="false">
      <c r="A37" s="39"/>
      <c r="B37" s="39"/>
      <c r="C37" s="39"/>
      <c r="D37" s="39"/>
      <c r="E37" s="39"/>
      <c r="F37" s="39"/>
    </row>
  </sheetData>
  <mergeCells count="13">
    <mergeCell ref="A1:F1"/>
    <mergeCell ref="A2:F2"/>
    <mergeCell ref="A4:F4"/>
    <mergeCell ref="B5:F5"/>
    <mergeCell ref="B6:F6"/>
    <mergeCell ref="B7:F7"/>
    <mergeCell ref="A12:F12"/>
    <mergeCell ref="A13:F15"/>
    <mergeCell ref="A17:F17"/>
    <mergeCell ref="A24:C24"/>
    <mergeCell ref="A29:F29"/>
    <mergeCell ref="A31:C31"/>
    <mergeCell ref="A36:F3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2026-06-21T13:58:17Z</dcterms:created>
  <dc:creator>openpyxl</dc:creator>
  <dc:description/>
  <dc:language>en-US</dc:language>
  <cp:lastModifiedBy/>
  <dcterms:modified xsi:type="dcterms:W3CDTF">2026-06-21T14:09:32Z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