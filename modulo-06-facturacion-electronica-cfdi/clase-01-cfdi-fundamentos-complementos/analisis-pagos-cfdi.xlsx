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álisis de Pagos" sheetId="1" state="visible" r:id="rId3"/>
    <sheet name="Inventario CFD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<sst xmlns="http://schemas.openxmlformats.org/spreadsheetml/2006/main" count="78" uniqueCount="67">
  <si>
    <t xml:space="preserve">Análisis de pagos — Factura PPD liquidada en parcialidades</t>
  </si>
  <si>
    <t xml:space="preserve">Datos extraídos de los CFDI de ejemplo (RFC de prueba del SAT · datos ficticios)</t>
  </si>
  <si>
    <t xml:space="preserve">FACTURA DE ORIGEN (PPD)</t>
  </si>
  <si>
    <t xml:space="preserve">UUID:</t>
  </si>
  <si>
    <t xml:space="preserve">AAAAAAAA-BBBB-CCCC-DDDD-EEEEEEEEEEEE</t>
  </si>
  <si>
    <t xml:space="preserve">Serie-Folio:</t>
  </si>
  <si>
    <t xml:space="preserve">F-2026000</t>
  </si>
  <si>
    <t xml:space="preserve">Fecha de emisión:</t>
  </si>
  <si>
    <t xml:space="preserve">2026-02-15</t>
  </si>
  <si>
    <t xml:space="preserve">Método de pago:</t>
  </si>
  <si>
    <t xml:space="preserve">PPD</t>
  </si>
  <si>
    <t xml:space="preserve">Total (MXN):</t>
  </si>
  <si>
    <t xml:space="preserve">Base 16% (MXN):</t>
  </si>
  <si>
    <t xml:space="preserve">IVA 16% (MXN):</t>
  </si>
  <si>
    <t xml:space="preserve">PAGOS RECIBIDOS (COMPLEMENTO DE PAGO · REP)</t>
  </si>
  <si>
    <t xml:space="preserve"># Parc.</t>
  </si>
  <si>
    <t xml:space="preserve">Tipo</t>
  </si>
  <si>
    <t xml:space="preserve">Serie-Folio REP</t>
  </si>
  <si>
    <t xml:space="preserve">UUID del REP</t>
  </si>
  <si>
    <t xml:space="preserve">Fecha de pago</t>
  </si>
  <si>
    <t xml:space="preserve">Forma de pago</t>
  </si>
  <si>
    <t xml:space="preserve">Saldo anterior (MXN)</t>
  </si>
  <si>
    <t xml:space="preserve">Importe pagado (MXN)</t>
  </si>
  <si>
    <t xml:space="preserve">Saldo insoluto (MXN)</t>
  </si>
  <si>
    <t xml:space="preserve">Base IVA del pago (MXN)</t>
  </si>
  <si>
    <t xml:space="preserve">IVA del pago (MXN)</t>
  </si>
  <si>
    <t xml:space="preserve">% cubierto acum.</t>
  </si>
  <si>
    <t xml:space="preserve">P</t>
  </si>
  <si>
    <t xml:space="preserve">P-2026001</t>
  </si>
  <si>
    <t xml:space="preserve">B2C3D4E5-F6A7-2B3C-4D5E-6F7A8B9C0D1E</t>
  </si>
  <si>
    <t xml:space="preserve">2026-03-10</t>
  </si>
  <si>
    <t xml:space="preserve">03 Transferencia</t>
  </si>
  <si>
    <t xml:space="preserve">P-2026002</t>
  </si>
  <si>
    <t xml:space="preserve">C3D4E5F6-A7B8-3C4D-5E6F-7A8B9C0D1E2F</t>
  </si>
  <si>
    <t xml:space="preserve">2026-04-28</t>
  </si>
  <si>
    <t xml:space="preserve">TOTALES</t>
  </si>
  <si>
    <t xml:space="preserve">VERIFICACIÓN (CUADRE)</t>
  </si>
  <si>
    <t xml:space="preserve">Suma de pagos = Total de la factura</t>
  </si>
  <si>
    <t xml:space="preserve">Saldo insoluto final = 0 (liquidada)</t>
  </si>
  <si>
    <t xml:space="preserve">IVA de los pagos = IVA de la factura</t>
  </si>
  <si>
    <t xml:space="preserve">IVA ACREDITABLE POR PERIODO (se acredita al recibir el REP)</t>
  </si>
  <si>
    <t xml:space="preserve">Periodo</t>
  </si>
  <si>
    <t xml:space="preserve">REP que lo ampara</t>
  </si>
  <si>
    <t xml:space="preserve">IVA acreditable (MXN)</t>
  </si>
  <si>
    <t xml:space="preserve">Marzo 2026</t>
  </si>
  <si>
    <t xml:space="preserve">Abril 2026</t>
  </si>
  <si>
    <t xml:space="preserve">Total</t>
  </si>
  <si>
    <t xml:space="preserve">Convención: texto azul = dato tomado del XML · texto negro = cálculo (fórmula).</t>
  </si>
  <si>
    <t xml:space="preserve">Inventario de CFDI de ejemplo</t>
  </si>
  <si>
    <t xml:space="preserve">Archivo</t>
  </si>
  <si>
    <t xml:space="preserve">Tipo de comprobante</t>
  </si>
  <si>
    <t xml:space="preserve">Serie-Folio</t>
  </si>
  <si>
    <t xml:space="preserve">UUID</t>
  </si>
  <si>
    <t xml:space="preserve">Fecha</t>
  </si>
  <si>
    <t xml:space="preserve">Total (MXN)</t>
  </si>
  <si>
    <t xml:space="preserve">Notas</t>
  </si>
  <si>
    <t xml:space="preserve">cfdi-40-ejemplo-clase.xml</t>
  </si>
  <si>
    <t xml:space="preserve">I · Ingreso (PUE)</t>
  </si>
  <si>
    <t xml:space="preserve">F-2026001</t>
  </si>
  <si>
    <t xml:space="preserve">A1B2C3D4-E5F6-1A2B-3C4D-5E6F7A8B9C0D</t>
  </si>
  <si>
    <t xml:space="preserve">2026-01-15</t>
  </si>
  <si>
    <t xml:space="preserve">Factura independiente. No forma parte de la cadena de pagos.</t>
  </si>
  <si>
    <t xml:space="preserve">cfdi-40-rep-ejemplo-clase.xml</t>
  </si>
  <si>
    <t xml:space="preserve">P · Pago (REP)</t>
  </si>
  <si>
    <t xml:space="preserve">Parcialidad 1 de la factura F-2026000.</t>
  </si>
  <si>
    <t xml:space="preserve">cfdi-40-rep2-ejemplo-clase.xml</t>
  </si>
  <si>
    <t xml:space="preserve">Parcialidad 2 (liquida) de la factura F-2026000.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</si>
</sst>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162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0000FF"/>
      <name val="Arial"/>
      <family val="0"/>
      <charset val="1"/>
    </font>
    <font>
      <b val="true"/>
      <sz val="10"/>
      <color rgb="FF1E7A1E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0B5FFF"/>
        <bgColor rgb="FF3366FF"/>
      </patternFill>
    </fill>
    <fill>
      <patternFill patternType="solid">
        <fgColor rgb="FFEAF0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1E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0FF"/>
      <rgbColor rgb="FF660066"/>
      <rgbColor rgb="FFFF8080"/>
      <rgbColor rgb="FF0B5FF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A16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9" min="7" style="0" width="18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6" t="n">
        <v>58000</v>
      </c>
    </row>
    <row r="10" customFormat="false" ht="15" hidden="false" customHeight="false" outlineLevel="0" collapsed="false">
      <c r="A10" s="4" t="s">
        <v>12</v>
      </c>
      <c r="B10" s="7" t="n">
        <f aca="false">ROUND(B9/1.16,2)</f>
        <v>50000</v>
      </c>
    </row>
    <row r="11" customFormat="false" ht="15" hidden="false" customHeight="false" outlineLevel="0" collapsed="false">
      <c r="A11" s="4" t="s">
        <v>13</v>
      </c>
      <c r="B11" s="7" t="n">
        <f aca="false">B9-B10</f>
        <v>8000</v>
      </c>
    </row>
    <row r="13" customFormat="false" ht="15" hidden="false" customHeight="false" outlineLevel="0" collapsed="false">
      <c r="A13" s="3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23.85" hidden="false" customHeight="false" outlineLevel="0" collapsed="false">
      <c r="A14" s="8" t="s">
        <v>15</v>
      </c>
      <c r="B14" s="8" t="s">
        <v>16</v>
      </c>
      <c r="C14" s="8" t="s">
        <v>17</v>
      </c>
      <c r="D14" s="8" t="s">
        <v>18</v>
      </c>
      <c r="E14" s="8" t="s">
        <v>19</v>
      </c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 t="s">
        <v>26</v>
      </c>
    </row>
    <row r="15" customFormat="false" ht="15" hidden="false" customHeight="false" outlineLevel="0" collapsed="false">
      <c r="A15" s="9" t="n">
        <v>1</v>
      </c>
      <c r="B15" s="9" t="s">
        <v>27</v>
      </c>
      <c r="C15" s="10" t="s">
        <v>28</v>
      </c>
      <c r="D15" s="11" t="s">
        <v>29</v>
      </c>
      <c r="E15" s="10" t="s">
        <v>30</v>
      </c>
      <c r="F15" s="10" t="s">
        <v>31</v>
      </c>
      <c r="G15" s="12" t="n">
        <f aca="false">B9</f>
        <v>58000</v>
      </c>
      <c r="H15" s="13" t="n">
        <v>30000</v>
      </c>
      <c r="I15" s="12" t="n">
        <f aca="false">G15-H15</f>
        <v>28000</v>
      </c>
      <c r="J15" s="12" t="n">
        <f aca="false">ROUND(H15/1.16,2)</f>
        <v>25862.07</v>
      </c>
      <c r="K15" s="12" t="n">
        <f aca="false">H15-J15</f>
        <v>4137.93</v>
      </c>
      <c r="L15" s="14" t="n">
        <f aca="false">SUM($H$15:H15)/$B$9</f>
        <v>0.517241379310345</v>
      </c>
    </row>
    <row r="16" customFormat="false" ht="15" hidden="false" customHeight="false" outlineLevel="0" collapsed="false">
      <c r="A16" s="9" t="n">
        <v>2</v>
      </c>
      <c r="B16" s="9" t="s">
        <v>27</v>
      </c>
      <c r="C16" s="10" t="s">
        <v>32</v>
      </c>
      <c r="D16" s="11" t="s">
        <v>33</v>
      </c>
      <c r="E16" s="10" t="s">
        <v>34</v>
      </c>
      <c r="F16" s="10" t="s">
        <v>31</v>
      </c>
      <c r="G16" s="12" t="n">
        <f aca="false">I15</f>
        <v>28000</v>
      </c>
      <c r="H16" s="13" t="n">
        <v>28000</v>
      </c>
      <c r="I16" s="12" t="n">
        <f aca="false">G16-H16</f>
        <v>0</v>
      </c>
      <c r="J16" s="12" t="n">
        <f aca="false">ROUND(H16/1.16,2)</f>
        <v>24137.93</v>
      </c>
      <c r="K16" s="12" t="n">
        <f aca="false">H16-J16</f>
        <v>3862.07</v>
      </c>
      <c r="L16" s="14" t="n">
        <f aca="false">SUM($H$15:H16)/$B$9</f>
        <v>1</v>
      </c>
    </row>
    <row r="17" customFormat="false" ht="15" hidden="false" customHeight="false" outlineLevel="0" collapsed="false">
      <c r="A17" s="15" t="s">
        <v>35</v>
      </c>
      <c r="B17" s="15"/>
      <c r="C17" s="15"/>
      <c r="D17" s="15"/>
      <c r="E17" s="15"/>
      <c r="F17" s="15"/>
      <c r="G17" s="15"/>
      <c r="H17" s="16" t="n">
        <f aca="false">SUM(H15:H16)</f>
        <v>58000</v>
      </c>
      <c r="I17" s="16" t="n">
        <f aca="false">I16</f>
        <v>0</v>
      </c>
      <c r="J17" s="16" t="n">
        <f aca="false">SUM(J15:J16)</f>
        <v>50000</v>
      </c>
      <c r="K17" s="16" t="n">
        <f aca="false">SUM(K15:K16)</f>
        <v>8000</v>
      </c>
      <c r="L17" s="17" t="n">
        <f aca="false">H17/$B$9</f>
        <v>1</v>
      </c>
    </row>
    <row r="19" customFormat="false" ht="15" hidden="false" customHeight="false" outlineLevel="0" collapsed="false">
      <c r="A19" s="3" t="s">
        <v>36</v>
      </c>
      <c r="B19" s="3"/>
      <c r="C19" s="3"/>
    </row>
    <row r="20" customFormat="false" ht="15" hidden="false" customHeight="false" outlineLevel="0" collapsed="false">
      <c r="A20" s="18" t="s">
        <v>37</v>
      </c>
      <c r="B20" s="18"/>
      <c r="C20" s="19" t="str">
        <f aca="false">IF(H17=B9,"✔ CUADRA","✘ REVISAR")</f>
        <v>✔ CUADRA</v>
      </c>
    </row>
    <row r="21" customFormat="false" ht="15" hidden="false" customHeight="false" outlineLevel="0" collapsed="false">
      <c r="A21" s="18" t="s">
        <v>38</v>
      </c>
      <c r="B21" s="18"/>
      <c r="C21" s="19" t="str">
        <f aca="false">IF(I16=0,"✔ LIQUIDADA","✘ PENDIENTE")</f>
        <v>✔ LIQUIDADA</v>
      </c>
    </row>
    <row r="22" customFormat="false" ht="15" hidden="false" customHeight="false" outlineLevel="0" collapsed="false">
      <c r="A22" s="18" t="s">
        <v>39</v>
      </c>
      <c r="B22" s="18"/>
      <c r="C22" s="19" t="str">
        <f aca="false">IF(K17=B11,"✔ CUADRA","✘ REVISAR")</f>
        <v>✔ CUADRA</v>
      </c>
    </row>
    <row r="24" customFormat="false" ht="15" hidden="false" customHeight="false" outlineLevel="0" collapsed="false">
      <c r="A24" s="3" t="s">
        <v>40</v>
      </c>
      <c r="B24" s="3"/>
      <c r="C24" s="3"/>
    </row>
    <row r="25" customFormat="false" ht="23.85" hidden="false" customHeight="false" outlineLevel="0" collapsed="false">
      <c r="A25" s="8" t="s">
        <v>41</v>
      </c>
      <c r="B25" s="8" t="s">
        <v>42</v>
      </c>
      <c r="C25" s="8" t="s">
        <v>43</v>
      </c>
    </row>
    <row r="26" customFormat="false" ht="15" hidden="false" customHeight="false" outlineLevel="0" collapsed="false">
      <c r="A26" s="20" t="s">
        <v>44</v>
      </c>
      <c r="B26" s="21" t="s">
        <v>28</v>
      </c>
      <c r="C26" s="12" t="n">
        <f aca="false">K15</f>
        <v>4137.93</v>
      </c>
    </row>
    <row r="27" customFormat="false" ht="15" hidden="false" customHeight="false" outlineLevel="0" collapsed="false">
      <c r="A27" s="20" t="s">
        <v>45</v>
      </c>
      <c r="B27" s="21" t="s">
        <v>32</v>
      </c>
      <c r="C27" s="12" t="n">
        <f aca="false">K16</f>
        <v>3862.07</v>
      </c>
    </row>
    <row r="28" customFormat="false" ht="15" hidden="false" customHeight="false" outlineLevel="0" collapsed="false">
      <c r="A28" s="22" t="s">
        <v>46</v>
      </c>
      <c r="B28" s="22"/>
      <c r="C28" s="16" t="n">
        <f aca="false">SUM(C26:C27)</f>
        <v>8000</v>
      </c>
    </row>
    <row r="30" customFormat="false" ht="15" hidden="false" customHeight="false" outlineLevel="0" collapsed="false">
      <c r="A30" s="23" t="s">
        <v>47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</sheetData>
  <mergeCells count="11">
    <mergeCell ref="A1:L1"/>
    <mergeCell ref="A2:L2"/>
    <mergeCell ref="A4:C4"/>
    <mergeCell ref="A13:L13"/>
    <mergeCell ref="A17:G17"/>
    <mergeCell ref="A19:C19"/>
    <mergeCell ref="A20:B20"/>
    <mergeCell ref="A21:B21"/>
    <mergeCell ref="A22:B22"/>
    <mergeCell ref="A24:C24"/>
    <mergeCell ref="A30:L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" t="s">
        <v>48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  <c r="F3" s="8" t="s">
        <v>54</v>
      </c>
      <c r="G3" s="8" t="s">
        <v>55</v>
      </c>
    </row>
    <row r="4" customFormat="false" ht="15" hidden="false" customHeight="false" outlineLevel="0" collapsed="false">
      <c r="A4" s="20" t="s">
        <v>56</v>
      </c>
      <c r="B4" s="20" t="s">
        <v>57</v>
      </c>
      <c r="C4" s="20" t="s">
        <v>58</v>
      </c>
      <c r="D4" s="24" t="s">
        <v>59</v>
      </c>
      <c r="E4" s="20" t="s">
        <v>60</v>
      </c>
      <c r="F4" s="25" t="n">
        <v>11600</v>
      </c>
      <c r="G4" s="20" t="s">
        <v>61</v>
      </c>
    </row>
    <row r="5" customFormat="false" ht="15" hidden="false" customHeight="false" outlineLevel="0" collapsed="false">
      <c r="A5" s="20" t="s">
        <v>62</v>
      </c>
      <c r="B5" s="20" t="s">
        <v>63</v>
      </c>
      <c r="C5" s="20" t="s">
        <v>28</v>
      </c>
      <c r="D5" s="24" t="s">
        <v>29</v>
      </c>
      <c r="E5" s="20" t="s">
        <v>30</v>
      </c>
      <c r="F5" s="25" t="n">
        <v>0</v>
      </c>
      <c r="G5" s="20" t="s">
        <v>64</v>
      </c>
    </row>
    <row r="6" customFormat="false" ht="15" hidden="false" customHeight="false" outlineLevel="0" collapsed="false">
      <c r="A6" s="20" t="s">
        <v>65</v>
      </c>
      <c r="B6" s="20" t="s">
        <v>63</v>
      </c>
      <c r="C6" s="20" t="s">
        <v>32</v>
      </c>
      <c r="D6" s="24" t="s">
        <v>33</v>
      </c>
      <c r="E6" s="20" t="s">
        <v>34</v>
      </c>
      <c r="F6" s="25" t="n">
        <v>0</v>
      </c>
      <c r="G6" s="20" t="s">
        <v>66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2026-06-21T13:58:17Z</dcterms:created>
  <dc:creator>openpyxl</dc:creator>
  <dc:description/>
  <dc:language>en-US</dc:language>
  <cp:lastModifiedBy/>
  <dcterms:modified xsi:type="dcterms:W3CDTF">2026-06-21T13:58:17Z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